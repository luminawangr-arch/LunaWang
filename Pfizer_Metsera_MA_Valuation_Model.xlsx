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AAA-Sufe\AAA学习\金融工具\"/>
    </mc:Choice>
  </mc:AlternateContent>
  <xr:revisionPtr revIDLastSave="0" documentId="13_ncr:1_{155F95B8-0DC9-483E-A970-6F1431908E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1" r:id="rId1"/>
    <sheet name="Assumptions" sheetId="2" r:id="rId2"/>
    <sheet name="Pfizer Financials" sheetId="3" r:id="rId3"/>
    <sheet name="Metsera rNPV" sheetId="4" r:id="rId4"/>
    <sheet name="CVR Binomial Tree" sheetId="5" r:id="rId5"/>
    <sheet name="Deal Valuation" sheetId="6" r:id="rId6"/>
    <sheet name="Sensitivity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6" l="1"/>
  <c r="D7" i="6"/>
  <c r="D5" i="6"/>
  <c r="L35" i="5"/>
  <c r="D16" i="6"/>
  <c r="D9" i="6"/>
  <c r="C9" i="6"/>
  <c r="C17" i="2"/>
  <c r="C8" i="6"/>
  <c r="C7" i="6"/>
  <c r="C6" i="6"/>
  <c r="C5" i="6"/>
  <c r="C6" i="2"/>
  <c r="F52" i="5"/>
  <c r="L42" i="5"/>
  <c r="L41" i="5"/>
  <c r="L40" i="5"/>
  <c r="L39" i="5"/>
  <c r="L38" i="5"/>
  <c r="L37" i="5"/>
  <c r="L36" i="5"/>
  <c r="J42" i="5"/>
  <c r="J41" i="5"/>
  <c r="J40" i="5"/>
  <c r="J39" i="5"/>
  <c r="J38" i="5"/>
  <c r="J37" i="5"/>
  <c r="J36" i="5"/>
  <c r="J35" i="5"/>
  <c r="I18" i="5"/>
  <c r="I16" i="5"/>
  <c r="G29" i="5"/>
  <c r="G25" i="5"/>
  <c r="G17" i="5"/>
  <c r="C22" i="2"/>
  <c r="C5" i="5" s="1"/>
  <c r="C31" i="4"/>
  <c r="C32" i="4"/>
  <c r="C11" i="4"/>
  <c r="D18" i="6"/>
  <c r="L6" i="5"/>
  <c r="L7" i="5"/>
  <c r="L5" i="5"/>
  <c r="C13" i="2"/>
  <c r="C30" i="4"/>
  <c r="C28" i="4"/>
  <c r="C25" i="4"/>
  <c r="D21" i="4"/>
  <c r="D20" i="4"/>
  <c r="D19" i="4"/>
  <c r="D18" i="4"/>
  <c r="C29" i="4"/>
  <c r="C35" i="2"/>
  <c r="C34" i="2"/>
  <c r="C29" i="2"/>
  <c r="C30" i="2" s="1"/>
  <c r="C32" i="2"/>
  <c r="C14" i="2"/>
  <c r="C12" i="2"/>
  <c r="D20" i="6"/>
  <c r="C22" i="6"/>
  <c r="C21" i="6"/>
  <c r="D14" i="6"/>
  <c r="D4" i="6"/>
  <c r="C4" i="6"/>
  <c r="F50" i="5"/>
  <c r="L10" i="5"/>
  <c r="L9" i="5"/>
  <c r="C9" i="5"/>
  <c r="L8" i="5"/>
  <c r="C7" i="5"/>
  <c r="C6" i="5"/>
  <c r="D17" i="4"/>
  <c r="C7" i="4"/>
  <c r="C9" i="4" s="1"/>
  <c r="C43" i="2"/>
  <c r="C33" i="2"/>
  <c r="C28" i="2"/>
  <c r="C10" i="5" s="1"/>
  <c r="C27" i="2"/>
  <c r="C26" i="2"/>
  <c r="D6" i="2"/>
  <c r="C47" i="2" l="1"/>
  <c r="C48" i="2"/>
  <c r="C46" i="2"/>
  <c r="C23" i="5"/>
  <c r="N33" i="7"/>
  <c r="K31" i="7"/>
  <c r="G30" i="7"/>
  <c r="C29" i="7"/>
  <c r="K27" i="7"/>
  <c r="G26" i="7"/>
  <c r="C25" i="7"/>
  <c r="K17" i="7"/>
  <c r="G16" i="7"/>
  <c r="C15" i="7"/>
  <c r="K13" i="7"/>
  <c r="G12" i="7"/>
  <c r="C11" i="7"/>
  <c r="K9" i="7"/>
  <c r="G8" i="7"/>
  <c r="C7" i="7"/>
  <c r="G31" i="7"/>
  <c r="C30" i="7"/>
  <c r="K28" i="7"/>
  <c r="G27" i="7"/>
  <c r="C26" i="7"/>
  <c r="K24" i="7"/>
  <c r="G17" i="7"/>
  <c r="C16" i="7"/>
  <c r="K14" i="7"/>
  <c r="G13" i="7"/>
  <c r="C12" i="7"/>
  <c r="K10" i="7"/>
  <c r="G9" i="7"/>
  <c r="C8" i="7"/>
  <c r="M32" i="7"/>
  <c r="K32" i="7"/>
  <c r="L11" i="5"/>
  <c r="C13" i="4"/>
  <c r="D8" i="7"/>
  <c r="H9" i="7"/>
  <c r="L10" i="7"/>
  <c r="D12" i="7"/>
  <c r="H13" i="7"/>
  <c r="L14" i="7"/>
  <c r="D16" i="7"/>
  <c r="H17" i="7"/>
  <c r="L24" i="7"/>
  <c r="D26" i="7"/>
  <c r="H27" i="7"/>
  <c r="L28" i="7"/>
  <c r="D30" i="7"/>
  <c r="H31" i="7"/>
  <c r="L32" i="7"/>
  <c r="C36" i="2"/>
  <c r="C37" i="2" s="1"/>
  <c r="C8" i="5"/>
  <c r="E8" i="7"/>
  <c r="I9" i="7"/>
  <c r="M10" i="7"/>
  <c r="E12" i="7"/>
  <c r="I13" i="7"/>
  <c r="M14" i="7"/>
  <c r="E16" i="7"/>
  <c r="I17" i="7"/>
  <c r="M24" i="7"/>
  <c r="E26" i="7"/>
  <c r="I27" i="7"/>
  <c r="M28" i="7"/>
  <c r="E30" i="7"/>
  <c r="I31" i="7"/>
  <c r="F8" i="7"/>
  <c r="J9" i="7"/>
  <c r="N10" i="7"/>
  <c r="F12" i="7"/>
  <c r="J13" i="7"/>
  <c r="N14" i="7"/>
  <c r="F16" i="7"/>
  <c r="J17" i="7"/>
  <c r="N24" i="7"/>
  <c r="F26" i="7"/>
  <c r="J27" i="7"/>
  <c r="N28" i="7"/>
  <c r="F30" i="7"/>
  <c r="J31" i="7"/>
  <c r="N32" i="7"/>
  <c r="C33" i="7"/>
  <c r="D7" i="7"/>
  <c r="H8" i="7"/>
  <c r="L9" i="7"/>
  <c r="D11" i="7"/>
  <c r="H12" i="7"/>
  <c r="L13" i="7"/>
  <c r="D15" i="7"/>
  <c r="H16" i="7"/>
  <c r="L17" i="7"/>
  <c r="D25" i="7"/>
  <c r="H26" i="7"/>
  <c r="L27" i="7"/>
  <c r="D29" i="7"/>
  <c r="H30" i="7"/>
  <c r="L31" i="7"/>
  <c r="D33" i="7"/>
  <c r="C31" i="2"/>
  <c r="E7" i="7"/>
  <c r="I8" i="7"/>
  <c r="M9" i="7"/>
  <c r="E11" i="7"/>
  <c r="I12" i="7"/>
  <c r="M13" i="7"/>
  <c r="E15" i="7"/>
  <c r="I16" i="7"/>
  <c r="M17" i="7"/>
  <c r="E25" i="7"/>
  <c r="I26" i="7"/>
  <c r="M27" i="7"/>
  <c r="E29" i="7"/>
  <c r="I30" i="7"/>
  <c r="M31" i="7"/>
  <c r="E33" i="7"/>
  <c r="F7" i="7"/>
  <c r="J8" i="7"/>
  <c r="N9" i="7"/>
  <c r="F11" i="7"/>
  <c r="J12" i="7"/>
  <c r="N13" i="7"/>
  <c r="F15" i="7"/>
  <c r="J16" i="7"/>
  <c r="N17" i="7"/>
  <c r="F25" i="7"/>
  <c r="J26" i="7"/>
  <c r="N27" i="7"/>
  <c r="F29" i="7"/>
  <c r="J30" i="7"/>
  <c r="N31" i="7"/>
  <c r="F33" i="7"/>
  <c r="G7" i="7"/>
  <c r="K8" i="7"/>
  <c r="C10" i="7"/>
  <c r="G11" i="7"/>
  <c r="K12" i="7"/>
  <c r="C14" i="7"/>
  <c r="G15" i="7"/>
  <c r="K16" i="7"/>
  <c r="C24" i="7"/>
  <c r="G25" i="7"/>
  <c r="K26" i="7"/>
  <c r="C28" i="7"/>
  <c r="G29" i="7"/>
  <c r="K30" i="7"/>
  <c r="C32" i="7"/>
  <c r="G33" i="7"/>
  <c r="H7" i="7"/>
  <c r="L8" i="7"/>
  <c r="D10" i="7"/>
  <c r="H11" i="7"/>
  <c r="L12" i="7"/>
  <c r="D14" i="7"/>
  <c r="H15" i="7"/>
  <c r="L16" i="7"/>
  <c r="D24" i="7"/>
  <c r="H25" i="7"/>
  <c r="L26" i="7"/>
  <c r="D28" i="7"/>
  <c r="H29" i="7"/>
  <c r="L30" i="7"/>
  <c r="D32" i="7"/>
  <c r="H33" i="7"/>
  <c r="I7" i="7"/>
  <c r="M8" i="7"/>
  <c r="E10" i="7"/>
  <c r="I11" i="7"/>
  <c r="M12" i="7"/>
  <c r="E14" i="7"/>
  <c r="I15" i="7"/>
  <c r="M16" i="7"/>
  <c r="E24" i="7"/>
  <c r="I25" i="7"/>
  <c r="M26" i="7"/>
  <c r="E28" i="7"/>
  <c r="I29" i="7"/>
  <c r="M30" i="7"/>
  <c r="E32" i="7"/>
  <c r="I33" i="7"/>
  <c r="J7" i="7"/>
  <c r="N8" i="7"/>
  <c r="F10" i="7"/>
  <c r="J11" i="7"/>
  <c r="N12" i="7"/>
  <c r="F14" i="7"/>
  <c r="J15" i="7"/>
  <c r="N16" i="7"/>
  <c r="F24" i="7"/>
  <c r="J25" i="7"/>
  <c r="N26" i="7"/>
  <c r="F28" i="7"/>
  <c r="J29" i="7"/>
  <c r="N30" i="7"/>
  <c r="F32" i="7"/>
  <c r="J33" i="7"/>
  <c r="K7" i="7"/>
  <c r="C9" i="7"/>
  <c r="G10" i="7"/>
  <c r="K11" i="7"/>
  <c r="C13" i="7"/>
  <c r="G14" i="7"/>
  <c r="K15" i="7"/>
  <c r="C17" i="7"/>
  <c r="G24" i="7"/>
  <c r="K25" i="7"/>
  <c r="C27" i="7"/>
  <c r="G28" i="7"/>
  <c r="K29" i="7"/>
  <c r="C31" i="7"/>
  <c r="G32" i="7"/>
  <c r="K33" i="7"/>
  <c r="L7" i="7"/>
  <c r="D9" i="7"/>
  <c r="H10" i="7"/>
  <c r="L11" i="7"/>
  <c r="D13" i="7"/>
  <c r="H14" i="7"/>
  <c r="L15" i="7"/>
  <c r="D17" i="7"/>
  <c r="H24" i="7"/>
  <c r="L25" i="7"/>
  <c r="D27" i="7"/>
  <c r="H28" i="7"/>
  <c r="L29" i="7"/>
  <c r="D31" i="7"/>
  <c r="H32" i="7"/>
  <c r="L33" i="7"/>
  <c r="M7" i="7"/>
  <c r="E9" i="7"/>
  <c r="I10" i="7"/>
  <c r="M11" i="7"/>
  <c r="E13" i="7"/>
  <c r="I14" i="7"/>
  <c r="M15" i="7"/>
  <c r="E17" i="7"/>
  <c r="I24" i="7"/>
  <c r="M25" i="7"/>
  <c r="E27" i="7"/>
  <c r="I28" i="7"/>
  <c r="M29" i="7"/>
  <c r="E31" i="7"/>
  <c r="I32" i="7"/>
  <c r="M33" i="7"/>
  <c r="N7" i="7"/>
  <c r="F9" i="7"/>
  <c r="J10" i="7"/>
  <c r="N11" i="7"/>
  <c r="F13" i="7"/>
  <c r="J14" i="7"/>
  <c r="N15" i="7"/>
  <c r="F17" i="7"/>
  <c r="J24" i="7"/>
  <c r="N25" i="7"/>
  <c r="F27" i="7"/>
  <c r="J28" i="7"/>
  <c r="N29" i="7"/>
  <c r="F31" i="7"/>
  <c r="J32" i="7"/>
  <c r="E19" i="5" l="1"/>
  <c r="E37" i="5" s="1"/>
  <c r="E27" i="5"/>
  <c r="E39" i="5" s="1"/>
  <c r="K40" i="5"/>
  <c r="K38" i="5"/>
  <c r="K36" i="5"/>
  <c r="K41" i="5"/>
  <c r="K39" i="5"/>
  <c r="K37" i="5"/>
  <c r="K42" i="5"/>
  <c r="K35" i="5"/>
  <c r="C11" i="5"/>
  <c r="C12" i="5"/>
  <c r="D35" i="5" l="1"/>
  <c r="D37" i="5"/>
  <c r="E35" i="5"/>
  <c r="E36" i="5"/>
  <c r="G21" i="5"/>
  <c r="G37" i="5" s="1"/>
  <c r="E38" i="5"/>
  <c r="D38" i="5"/>
  <c r="D36" i="5"/>
  <c r="D42" i="5"/>
  <c r="E41" i="5"/>
  <c r="D41" i="5"/>
  <c r="F36" i="5"/>
  <c r="G36" i="5"/>
  <c r="I24" i="5"/>
  <c r="G42" i="5"/>
  <c r="G35" i="5"/>
  <c r="D39" i="5"/>
  <c r="D40" i="5"/>
  <c r="F35" i="5"/>
  <c r="E40" i="5"/>
  <c r="E42" i="5"/>
  <c r="K43" i="5"/>
  <c r="I36" i="5"/>
  <c r="H36" i="5"/>
  <c r="G38" i="5" l="1"/>
  <c r="I22" i="5"/>
  <c r="I20" i="5"/>
  <c r="F37" i="5"/>
  <c r="F38" i="5"/>
  <c r="I37" i="5"/>
  <c r="H38" i="5"/>
  <c r="I38" i="5"/>
  <c r="I26" i="5"/>
  <c r="F40" i="5"/>
  <c r="G40" i="5"/>
  <c r="H35" i="5"/>
  <c r="G41" i="5"/>
  <c r="I35" i="5"/>
  <c r="F41" i="5"/>
  <c r="I28" i="5"/>
  <c r="H41" i="5" s="1"/>
  <c r="G39" i="5"/>
  <c r="I30" i="5"/>
  <c r="I42" i="5" s="1"/>
  <c r="F39" i="5"/>
  <c r="F42" i="5"/>
  <c r="I39" i="5"/>
  <c r="H39" i="5"/>
  <c r="I40" i="5"/>
  <c r="H40" i="5"/>
  <c r="H37" i="5" l="1"/>
  <c r="I41" i="5"/>
  <c r="H42" i="5"/>
  <c r="F46" i="5"/>
  <c r="F51" i="5" l="1"/>
  <c r="D17" i="6"/>
  <c r="D8" i="6"/>
  <c r="F48" i="5"/>
  <c r="F49" i="5" s="1"/>
  <c r="C10" i="6"/>
  <c r="D10" i="6" l="1"/>
  <c r="E10" i="6" l="1"/>
  <c r="E8" i="6"/>
  <c r="E4" i="6"/>
  <c r="E9" i="6"/>
  <c r="D15" i="6"/>
  <c r="D13" i="6"/>
</calcChain>
</file>

<file path=xl/sharedStrings.xml><?xml version="1.0" encoding="utf-8"?>
<sst xmlns="http://schemas.openxmlformats.org/spreadsheetml/2006/main" count="323" uniqueCount="307">
  <si>
    <t>PFIZER – METSERA M&amp;A VALUATION MODEL</t>
  </si>
  <si>
    <t>CVR Binomial Tree Pricing  |  GLP-1 Acquisition Analysis</t>
  </si>
  <si>
    <t>Course: Financial Instruments &amp; Risk Management  |  2025–2026 Spring</t>
  </si>
  <si>
    <t>DEAL SNAPSHOT</t>
  </si>
  <si>
    <t>Acquirer</t>
  </si>
  <si>
    <t>Pfizer Inc (PFE.US)</t>
  </si>
  <si>
    <t>Target</t>
  </si>
  <si>
    <t>Metsera, Inc.</t>
  </si>
  <si>
    <t>Deal Close</t>
  </si>
  <si>
    <t>November 13, 2025</t>
  </si>
  <si>
    <t>Cash Consideration</t>
  </si>
  <si>
    <t>$65.60 / share  (~$7.0bn enterprise value)</t>
  </si>
  <si>
    <t>CVR (max)</t>
  </si>
  <si>
    <t>$20.65 / share  (up to ~$2.3bn)</t>
  </si>
  <si>
    <t>CVR Fair Value (10-Q)</t>
  </si>
  <si>
    <t>$632 million  (Pfizer FY2026 Q1 10-Q)</t>
  </si>
  <si>
    <t>Total Fair Value</t>
  </si>
  <si>
    <t>$8.0 billion  (incl. CVR &amp; employee awards)</t>
  </si>
  <si>
    <t>Milestone 1</t>
  </si>
  <si>
    <t>$4.60/sh  →  Phase 3 start: MET-097i + MET-233i combo</t>
  </si>
  <si>
    <t>Milestone 2</t>
  </si>
  <si>
    <t>$6.40/sh  →  FDA approval: monthly MET-097i monotherapy</t>
  </si>
  <si>
    <t>Milestone 3</t>
  </si>
  <si>
    <t>$9.65/sh  →  FDA approval: monthly MET-097i + MET-233i</t>
  </si>
  <si>
    <t>MODEL NAVIGATION</t>
  </si>
  <si>
    <t>Assumptions</t>
  </si>
  <si>
    <t>All model inputs — blue = hard-coded, yellow = key assumption</t>
  </si>
  <si>
    <t>Pfizer Financials</t>
  </si>
  <si>
    <t>Abbreviated P&amp;L, Balance Sheet, and Cash Flow (2023–2030E)</t>
  </si>
  <si>
    <t>Metsera rNPV</t>
  </si>
  <si>
    <t>Risk-adjusted NPV of MET-097i drug program (underlying S₀)</t>
  </si>
  <si>
    <t>CVR Binomial Tree</t>
  </si>
  <si>
    <t>3-step binomial tree — CVR fair value via backward induction</t>
  </si>
  <si>
    <t>Deal Valuation</t>
  </si>
  <si>
    <t>Full M&amp;A consideration waterfall and implied deal metrics</t>
  </si>
  <si>
    <t>Sensitivity</t>
  </si>
  <si>
    <t>CVR fair value vs. milestone probability and discount rate</t>
  </si>
  <si>
    <t>COLOUR CONVENTION</t>
  </si>
  <si>
    <t>Blue text</t>
  </si>
  <si>
    <t>Hard-coded inputs (change for scenarios)</t>
  </si>
  <si>
    <t>Black text</t>
  </si>
  <si>
    <t>Formulas and calculated values</t>
  </si>
  <si>
    <t>Green text</t>
  </si>
  <si>
    <t>Cross-sheet links</t>
  </si>
  <si>
    <t>Yellow fill</t>
  </si>
  <si>
    <t>Key assumptions requiring attention</t>
  </si>
  <si>
    <t>Sources: Pfizer 10-Q Q1 2026 (SEC EDGAR); CICC Research Financial Model (2024); Metsera VESPER-1 Phase 2b Press Release (Sep 2025); IQVIA Obesity Market Revolution (Jul 2025)</t>
  </si>
  <si>
    <t>MODEL ASSUMPTIONS</t>
  </si>
  <si>
    <t>A. DEAL STRUCTURE  (Source: Pfizer 10-Q Q1 2026, SEC EDGAR)</t>
  </si>
  <si>
    <t>Cash price per share ($)</t>
  </si>
  <si>
    <t>Source: Pfizer 10-Q Q1 2026</t>
  </si>
  <si>
    <t>Shares outstanding (millions)</t>
  </si>
  <si>
    <t>Calc: $2.3bn / $20.65 CVR max</t>
  </si>
  <si>
    <t>Cash enterprise value ($mn)</t>
  </si>
  <si>
    <t>CVR max per share ($)</t>
  </si>
  <si>
    <t>CVR nominal total ($mn)</t>
  </si>
  <si>
    <t>CVR Milestone 1 per share ($)</t>
  </si>
  <si>
    <t>Phase 3 start: MET-097i+MET-233i combo</t>
  </si>
  <si>
    <t>CVR Milestone 2 per share ($)</t>
  </si>
  <si>
    <t>FDA approval: MET-097i monotherapy</t>
  </si>
  <si>
    <t>CVR Milestone 3 per share ($)</t>
  </si>
  <si>
    <t>FDA approval: MET-097i+MET-233i combo</t>
  </si>
  <si>
    <t>M1 total payment ($mn)</t>
  </si>
  <si>
    <t>M2 total payment ($mn)</t>
  </si>
  <si>
    <t>M3 total payment ($mn)</t>
  </si>
  <si>
    <t>CVR fair value per Pfizer ($mn)</t>
  </si>
  <si>
    <t>Source: Pfizer 10-Q Q1 2026, Note 2A</t>
  </si>
  <si>
    <t>Employee stock awards ($mn)</t>
  </si>
  <si>
    <t>Total fair value of deal ($mn)</t>
  </si>
  <si>
    <t>Cash + CVR FV + Awards</t>
  </si>
  <si>
    <t>B. BINOMIAL TREE PARAMETERS  (CVR Valuation Inputs)</t>
  </si>
  <si>
    <t>Risk-free rate (r)</t>
  </si>
  <si>
    <t>US 10Y Treasury yield, May 2026</t>
  </si>
  <si>
    <t>Drug program volatility (σ)</t>
  </si>
  <si>
    <t>Clinical-stage pharma vol (high)</t>
  </si>
  <si>
    <t>Drug program current value S₀ ($mn)</t>
  </si>
  <si>
    <t>Estimated rNPV — see Metsera rNPV sheet</t>
  </si>
  <si>
    <t>Time to Milestone 1 (T₁, years)</t>
  </si>
  <si>
    <t>Phase 3 start: ~6 months post-close</t>
  </si>
  <si>
    <t>Time to Milestone 2 (T₂, years)</t>
  </si>
  <si>
    <t>FDA approval mono: ~2028</t>
  </si>
  <si>
    <t>Time to Milestone 3 (T₃, years)</t>
  </si>
  <si>
    <t>FDA approval combo: ~2029</t>
  </si>
  <si>
    <t>Step 1 length Δt₁ (years)</t>
  </si>
  <si>
    <t>Step 2 length Δt₂ (years)</t>
  </si>
  <si>
    <t>Step 3 length Δt₃ (years)</t>
  </si>
  <si>
    <t>Up factor Step 1 (u₁)</t>
  </si>
  <si>
    <t>Down factor Step 1 (d₁)</t>
  </si>
  <si>
    <t>Risk-neutral prob Step 1 (p₁)</t>
  </si>
  <si>
    <t>Up factor Step 2 (u₂)</t>
  </si>
  <si>
    <t>Down factor Step 2 (d₂)</t>
  </si>
  <si>
    <t>Risk-neutral prob Step 2 (p₂)</t>
  </si>
  <si>
    <t>Up factor Step 3 (u₃)</t>
  </si>
  <si>
    <t>Down factor Step 3 (d₃)</t>
  </si>
  <si>
    <t>Risk-neutral prob Step 3 (p₃)</t>
  </si>
  <si>
    <t>C. MILESTONE SUCCESS PROBABILITIES  (Real-world; for calibration / scenario)</t>
  </si>
  <si>
    <t>P(M1): Phase 3 start probability</t>
  </si>
  <si>
    <t>Operational milestone; management decision</t>
  </si>
  <si>
    <t>P(M2): FDA approval – monotherapy</t>
  </si>
  <si>
    <t>GLP-1 Phase 3→approval historical rate ~60–70%</t>
  </si>
  <si>
    <t>P(M3|M2): Combo approval given mono</t>
  </si>
  <si>
    <t>Additional regulatory hurdle for combo</t>
  </si>
  <si>
    <t>P(M3): Combined combo prob [M2×M3|M2]</t>
  </si>
  <si>
    <t>D. MILESTONE TRIGGER THRESHOLDS  (K = minimum S to trigger milestone)</t>
  </si>
  <si>
    <t>K₁: M1 trigger threshold ($mn)</t>
  </si>
  <si>
    <t>S₀ × 50%  — Phase 3 start: low operational bar</t>
  </si>
  <si>
    <t>K₂: M2 trigger threshold ($mn)</t>
  </si>
  <si>
    <t>S₀ × 70%  — FDA approval mono: meaningful progress required</t>
  </si>
  <si>
    <t>K₃: M3 trigger threshold ($mn)</t>
  </si>
  <si>
    <t>S₀ × 85%  — Combo approval: highest regulatory bar</t>
  </si>
  <si>
    <t>PFIZER INC (PFE.US) — FINANCIAL SUMMARY</t>
  </si>
  <si>
    <t>Source: CICC Research Financial Model (Yuan GAO, 2024). Units: USD millions. A = Actual; E = Estimate. Data per RAWS sheet of uploaded model.</t>
  </si>
  <si>
    <t xml:space="preserve">  ($mn)</t>
  </si>
  <si>
    <t>2023
(A)</t>
  </si>
  <si>
    <t>2024
(A)</t>
  </si>
  <si>
    <t>2025
(A)</t>
  </si>
  <si>
    <t>2026
(E)</t>
  </si>
  <si>
    <t>2027
(E)</t>
  </si>
  <si>
    <t>2028
(E)</t>
  </si>
  <si>
    <t>2029
(E)</t>
  </si>
  <si>
    <t>2030
(E)</t>
  </si>
  <si>
    <t>INCOME STATEMENT</t>
  </si>
  <si>
    <t>Net Revenue</t>
  </si>
  <si>
    <t>Gross Profit</t>
  </si>
  <si>
    <t xml:space="preserve">  Gross Margin</t>
  </si>
  <si>
    <t>EBITDA</t>
  </si>
  <si>
    <t xml:space="preserve">  EBITDA Margin</t>
  </si>
  <si>
    <t>EBIT</t>
  </si>
  <si>
    <t>Net Profit (GAAP)</t>
  </si>
  <si>
    <t xml:space="preserve">  Net Margin</t>
  </si>
  <si>
    <t>Recurrent Net Profit</t>
  </si>
  <si>
    <t>R&amp;D Expenses</t>
  </si>
  <si>
    <t>BALANCE SHEET HIGHLIGHTS</t>
  </si>
  <si>
    <t>Total Assets</t>
  </si>
  <si>
    <t>Total Equity</t>
  </si>
  <si>
    <t>Long-Term Debt</t>
  </si>
  <si>
    <t>Net Debt</t>
  </si>
  <si>
    <t>CASH FLOW HIGHLIGHTS</t>
  </si>
  <si>
    <t>Operating Cash Flow</t>
  </si>
  <si>
    <t>Capital Expenditure</t>
  </si>
  <si>
    <t>Free Cash Flow</t>
  </si>
  <si>
    <t>Dividends Paid</t>
  </si>
  <si>
    <t>⚠  Patent Cliff Note: Pfizer faces ~$17–20bn revenue loss from patent expirations over 2025–2030E (analyst consensus, UBS/Bloomberg). The Metsera acquisition targets replacement of this revenue via GLP-1/obesity assets by 2030.</t>
  </si>
  <si>
    <t>METSERA MET-097i — RISK-ADJUSTED NPV (rNPV)</t>
  </si>
  <si>
    <t>Purpose: Derives S₀ = current value of MET-097i drug program, used as the underlying asset in the CVR Binomial Tree. rNPV = Σ [Peak Sales × Margin × P(success) × Discount].</t>
  </si>
  <si>
    <t>A. MARKET SIZING ASSUMPTIONS</t>
  </si>
  <si>
    <t>Global obesity drug market 2024 ($bn)</t>
  </si>
  <si>
    <t>IQVIA Obesity Market Revolution, Jul 2025</t>
  </si>
  <si>
    <t>Market CAGR 2024–2030 (%)</t>
  </si>
  <si>
    <t>Analyst consensus; GLP-1 volume growth</t>
  </si>
  <si>
    <t>Estimated market size 2030 ($bn)</t>
  </si>
  <si>
    <t>MET-097i peak market share (%)</t>
  </si>
  <si>
    <t>Conservative: ~6% in competitive market</t>
  </si>
  <si>
    <t>MET-097i peak sales ($bn)</t>
  </si>
  <si>
    <t>Net margin on peak sales (%)</t>
  </si>
  <si>
    <t>Pharma average operating margin</t>
  </si>
  <si>
    <t>Peak year net income ($bn)</t>
  </si>
  <si>
    <t>P/E multiple applied</t>
  </si>
  <si>
    <t>Pharma sector P/E (consensus ~20–25x)</t>
  </si>
  <si>
    <t>Undiscounted terminal value ($bn)</t>
  </si>
  <si>
    <t>B. PROBABILITY OF SUCCESS BY STAGE</t>
  </si>
  <si>
    <t>Stage</t>
  </si>
  <si>
    <t>Stage Success Rate</t>
  </si>
  <si>
    <t>Cumulative P(success)</t>
  </si>
  <si>
    <t>Note</t>
  </si>
  <si>
    <t>Preclinical → Phase 1</t>
  </si>
  <si>
    <t>Historical oncology/metabolic</t>
  </si>
  <si>
    <t>Phase 1 → Phase 2</t>
  </si>
  <si>
    <t>Industry average</t>
  </si>
  <si>
    <t>Phase 2 → Phase 3</t>
  </si>
  <si>
    <t>Metabolic disease slightly above avg</t>
  </si>
  <si>
    <t>Phase 3 → FDA Approval</t>
  </si>
  <si>
    <t>GLP-1 historical ~60–70%</t>
  </si>
  <si>
    <t>FDA Approval → Launch</t>
  </si>
  <si>
    <t>Regulatory/manufacturing risk</t>
  </si>
  <si>
    <t>C. rNPV CALCULATION — CURRENT STAGE: PHASE 2b COMPLETE</t>
  </si>
  <si>
    <t>Current stage</t>
  </si>
  <si>
    <t>Phase 2b complete (VESPER-1 results Sep 2025)</t>
  </si>
  <si>
    <t>Cumulative P(success) from Phase 3</t>
  </si>
  <si>
    <t>Discount rate for pharma asset (%)</t>
  </si>
  <si>
    <t>WACC for clinical-stage pharma: 12%</t>
  </si>
  <si>
    <t>Years to peak sales</t>
  </si>
  <si>
    <t>~2031 peak (approved ~2029, ramp 2 yr)</t>
  </si>
  <si>
    <t>Discount factor</t>
  </si>
  <si>
    <t>← from Section A</t>
  </si>
  <si>
    <t>Probability-adjusted terminal value ($bn)</t>
  </si>
  <si>
    <t>Risk-adjusted NPV ($bn)  [S₀]</t>
  </si>
  <si>
    <t>S₀ in $millions (→ Binomial Tree)</t>
  </si>
  <si>
    <t>× 1000 to convert bn → mn</t>
  </si>
  <si>
    <t>CVR VALUATION — 3-STEP BINOMIAL TREE  (Hull Ch.12 Framework)</t>
  </si>
  <si>
    <t>Method: Non-recombining binomial tree with 3 steps matching each CVR milestone. Underlying S = drug program value (rNPV). Up/down factors from σ. Risk-neutral probabilities p = (e^rΔt − d)/(u − d). CVR = sum of binary payoffs discounted back to t=0.</t>
  </si>
  <si>
    <t>PARAMETERS  (linked from Assumptions sheet)</t>
  </si>
  <si>
    <t>S₀  Drug program value ($mn)</t>
  </si>
  <si>
    <t>M1 payment ($mn)</t>
  </si>
  <si>
    <t>σ   Volatility</t>
  </si>
  <si>
    <t>M2 payment ($mn)</t>
  </si>
  <si>
    <t>r   Risk-free rate</t>
  </si>
  <si>
    <t>M3 payment ($mn)</t>
  </si>
  <si>
    <t>Δt₁  Step 1 length (yr)</t>
  </si>
  <si>
    <t>T₁ years to M1</t>
  </si>
  <si>
    <t>Δt₂  Step 2 length (yr)</t>
  </si>
  <si>
    <t>T₂ years to M2</t>
  </si>
  <si>
    <t>Δt₃  Step 3 length (yr)</t>
  </si>
  <si>
    <t>T₃ years to M3</t>
  </si>
  <si>
    <t>u₁ / d₁ / p₁</t>
  </si>
  <si>
    <t>u₂ / d₂ / p₂</t>
  </si>
  <si>
    <t>u₃ / d₃ / p₃</t>
  </si>
  <si>
    <t>STEP 1 — DRUG PROGRAM VALUE TREE  (S = rNPV, $mn)</t>
  </si>
  <si>
    <t>t=0  (Nov 2025)</t>
  </si>
  <si>
    <t>t=T₁  (M1)</t>
  </si>
  <si>
    <t>t=T₂  (M2)</t>
  </si>
  <si>
    <t>t=T₃  (M3)</t>
  </si>
  <si>
    <t>↗</t>
  </si>
  <si>
    <t>[Suu]</t>
  </si>
  <si>
    <t>↘</t>
  </si>
  <si>
    <t>[Su]</t>
  </si>
  <si>
    <t>[Sud]</t>
  </si>
  <si>
    <t>[Sdu]</t>
  </si>
  <si>
    <t>[Sd]</t>
  </si>
  <si>
    <t>[Sdd]</t>
  </si>
  <si>
    <t>STEP 2 — CVR PAYOFF AT EACH TERMINAL NODE  ($mn)</t>
  </si>
  <si>
    <t>Terminal Node</t>
  </si>
  <si>
    <t>Path</t>
  </si>
  <si>
    <t>S(T₁)</t>
  </si>
  <si>
    <t>M1 Pay?</t>
  </si>
  <si>
    <t>S(T₂)</t>
  </si>
  <si>
    <t>M2 Pay?</t>
  </si>
  <si>
    <t>S(T₃)</t>
  </si>
  <si>
    <t>M3 Pay?</t>
  </si>
  <si>
    <t>Total CVR
Payoff ($mn)</t>
  </si>
  <si>
    <t>Path Prob</t>
  </si>
  <si>
    <t>PV of Payoff</t>
  </si>
  <si>
    <t>UUU</t>
  </si>
  <si>
    <t>Up-Up-Up</t>
  </si>
  <si>
    <t>UUD</t>
  </si>
  <si>
    <t>Up-Up-Down</t>
  </si>
  <si>
    <t>UDU</t>
  </si>
  <si>
    <t>Up-Down-Up</t>
  </si>
  <si>
    <t>UDD</t>
  </si>
  <si>
    <t>Up-Down-Down</t>
  </si>
  <si>
    <t>DUU</t>
  </si>
  <si>
    <t>Down-Up-Up</t>
  </si>
  <si>
    <t>DUD</t>
  </si>
  <si>
    <t>Down-Up-Down</t>
  </si>
  <si>
    <t>DDU</t>
  </si>
  <si>
    <t>Down-Down-Up</t>
  </si>
  <si>
    <t>DDD</t>
  </si>
  <si>
    <t>Down-Down-Down</t>
  </si>
  <si>
    <t>Σ Probabilities (must = 100%)</t>
  </si>
  <si>
    <t>STEP 3 — CVR FAIR VALUE  (Sum of probability-weighted discounted payoffs)</t>
  </si>
  <si>
    <t>CVR Fair Value — Binomial Tree ($mn)</t>
  </si>
  <si>
    <t>CVR Fair Value — Pfizer 10-Q stated ($mn)</t>
  </si>
  <si>
    <t>Difference vs. Pfizer stated ($mn)</t>
  </si>
  <si>
    <t>Difference (%)</t>
  </si>
  <si>
    <t>CVR nominal maximum ($mn)</t>
  </si>
  <si>
    <t>Implied discount (CVR FV / Nominal)</t>
  </si>
  <si>
    <t>Implied CVR probability (FV/Nominal)</t>
  </si>
  <si>
    <t>Note: Pfizer disclosed in 10-Q Q1 2026 that CVR fair value is estimated using a 'probability-weighted discounted cash flow approach' (Level 3 fair value). This binomial tree model replicates that methodology using Hull (Ch.12) risk-neutral pricing. Differences arise from proprietary probability inputs used by Pfizer's valuation team vs. market-calibrated assumptions used here.</t>
  </si>
  <si>
    <t>PFIZER – METSERA: M&amp;A DEAL VALUATION SUMMARY</t>
  </si>
  <si>
    <t>CONSIDERATION COMPONENT</t>
  </si>
  <si>
    <t>Nominal ($mn)</t>
  </si>
  <si>
    <t>Fair Value ($mn)</t>
  </si>
  <si>
    <t>% of Total FV</t>
  </si>
  <si>
    <t>Cash consideration</t>
  </si>
  <si>
    <t xml:space="preserve">  CVR – Milestone 1 ($4.60/sh)</t>
  </si>
  <si>
    <t xml:space="preserve">  CVR – Milestone 2 ($6.40/sh)</t>
  </si>
  <si>
    <t xml:space="preserve">  CVR – Milestone 3 ($9.65/sh)</t>
  </si>
  <si>
    <t xml:space="preserve">  Total CVR (nominal / fair value from binomial tree)</t>
  </si>
  <si>
    <t>Employee stock awards</t>
  </si>
  <si>
    <t>TOTAL CONSIDERATION</t>
  </si>
  <si>
    <t>KEY DEAL METRICS</t>
  </si>
  <si>
    <t>EV / Peak Sales (2030E, est.)</t>
  </si>
  <si>
    <t>CVR Nominal / Cash EV (%)</t>
  </si>
  <si>
    <t>CVR Fair Value as % of Total Deal (%)</t>
  </si>
  <si>
    <t>CVR Implied Prob — Pfizer stated FV (%)</t>
  </si>
  <si>
    <t>CVR Implied Prob — This Binomial Model (%)</t>
  </si>
  <si>
    <t>Pfizer 2030E Net Revenue ($mn)</t>
  </si>
  <si>
    <t>Patent Cliff Revenue at Risk ($mn)</t>
  </si>
  <si>
    <t>Metsera Peak Sales / Patent Cliff Risk</t>
  </si>
  <si>
    <t>CVR_M2_prob helper →</t>
  </si>
  <si>
    <t>CVR_M3_prob helper →</t>
  </si>
  <si>
    <t>SENSITIVITY ANALYSIS — CVR FAIR VALUE ($mn)</t>
  </si>
  <si>
    <t>Table 1: CVR Fair Value vs. Milestone 2 Success Probability (P₂, x-axis) and Drug Program Volatility σ (y-axis). All other inputs from Assumptions sheet. Pfizer stated value: $632mn highlighted.</t>
  </si>
  <si>
    <t>σ (volatility) →</t>
  </si>
  <si>
    <t>CVR Fair Value ($mn)</t>
  </si>
  <si>
    <t>P(M2): FDA Approval Probability — Monotherapy</t>
  </si>
  <si>
    <t>σ (volatility) ↓</t>
  </si>
  <si>
    <t>TABLE 2 — CVR Fair Value: P(M2) vs P(M3|M2)  [σ fixed at Assumptions value]</t>
  </si>
  <si>
    <t>CVR ($mn)</t>
  </si>
  <si>
    <t>P(M3|M2): Combo Approval Probability (given mono approved)</t>
  </si>
  <si>
    <t>Methodology: CVR fair value computed as PW-DCF = Σ[Milestone_i × P(trigger_i) × e^(-r×Ti)]. Table 1 varies P(M2) and drug program volatility σ; Table 2 varies P(M2) and P(M3|M2). P(M1)=85%, r=4.5%, T1=0.5yr, T2=3.0yr, T3=4.0yr fixed from Assumptions. Pfizer stated CVR fair value of $632mn implies P(M2)≈38–42% using this framework. Source: Pfizer 10-Q Q1 2026 (probability-weighted DCF approach per Note 2A).</t>
  </si>
  <si>
    <t>=@M1 per share *@ shares</t>
  </si>
  <si>
    <t>=@M2 per share *@ shares</t>
  </si>
  <si>
    <t>=@M3 per share *@ shares</t>
  </si>
  <si>
    <t>@T₁</t>
  </si>
  <si>
    <t>@e^(@σ√Δt₁)</t>
  </si>
  <si>
    <t>=(@e^@rΔt₁-@d₁)/(@u₁-@d₁)</t>
  </si>
  <si>
    <t>=1/@u₁</t>
  </si>
  <si>
    <t>=@e^(@σ√Δt₂)</t>
  </si>
  <si>
    <t>=1/@u₂</t>
  </si>
  <si>
    <t>=(@e^@rΔt₂-@d₂)/(@u₂-@d₂)</t>
  </si>
  <si>
    <t>=@e^(@σ√Δt₃)</t>
  </si>
  <si>
    <t>=1/@u₃</t>
  </si>
  <si>
    <t>=(@e^@rΔt₃-@d₃)/(@u₃-@d₃)</t>
  </si>
  <si>
    <t>=@Peak sales *@ margin</t>
  </si>
  <si>
    <t>=@Net income *@ P/@e</t>
  </si>
  <si>
    <t>=@rNPV *@ discount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</si>
</sst>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;&quot;-&quot;"/>
    <numFmt numFmtId="165" formatCode="0.0000;\(0.0000\);&quot;-&quot;"/>
    <numFmt numFmtId="166" formatCode="0.00;\(0.00\);&quot;-&quot;"/>
    <numFmt numFmtId="167" formatCode="0.0%;\(0.0%\);&quot;-&quot;"/>
    <numFmt numFmtId="168" formatCode="#,##0;\(#,##0\);&quot;-&quot;"/>
    <numFmt numFmtId="169" formatCode="0;\(0\);&quot;-&quot;"/>
    <numFmt numFmtId="170" formatCode="#,##0.0;\(#,##0.0\);&quot;-&quot;"/>
    <numFmt numFmtId="171" formatCode="0.00\x;\(0.00\x\);&quot;-&quot;"/>
  </numFmts>
  <fonts count="27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2"/>
      <color rgb="FFC8D4F5"/>
      <name val="Arial"/>
      <family val="2"/>
    </font>
    <font>
      <sz val="10"/>
      <color rgb="FFD9DCE3"/>
      <name val="Arial"/>
      <family val="2"/>
    </font>
    <font>
      <b/>
      <sz val="10"/>
      <color rgb="FFFFFFFF"/>
      <name val="Arial"/>
      <family val="2"/>
    </font>
    <font>
      <b/>
      <sz val="10"/>
      <color rgb="FF1D2B72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FFFF00"/>
      <name val="Arial"/>
      <family val="2"/>
    </font>
    <font>
      <i/>
      <sz val="8"/>
      <color rgb="FF8C8C8C"/>
      <name val="Arial"/>
      <family val="2"/>
    </font>
    <font>
      <b/>
      <sz val="13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8C8C8C"/>
      <name val="Arial"/>
      <family val="2"/>
    </font>
    <font>
      <sz val="10"/>
      <color rgb="FF008000"/>
      <name val="Arial"/>
      <family val="2"/>
    </font>
    <font>
      <i/>
      <sz val="10"/>
      <color rgb="FF000000"/>
      <name val="Arial"/>
      <family val="2"/>
    </font>
    <font>
      <i/>
      <sz val="10"/>
      <color rgb="FF008000"/>
      <name val="Arial"/>
      <family val="2"/>
    </font>
    <font>
      <i/>
      <sz val="9"/>
      <color rgb="FF8B4513"/>
      <name val="Arial"/>
      <family val="2"/>
    </font>
    <font>
      <sz val="9"/>
      <color rgb="FF000000"/>
      <name val="Arial"/>
      <family val="2"/>
    </font>
    <font>
      <b/>
      <sz val="9"/>
      <color rgb="FF1D2B72"/>
      <name val="Arial"/>
      <family val="2"/>
    </font>
    <font>
      <b/>
      <sz val="14"/>
      <color rgb="FF0D6E6E"/>
      <name val="Arial"/>
      <family val="2"/>
    </font>
    <font>
      <b/>
      <sz val="11"/>
      <color rgb="FF1D2B72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</font>
    <font>
      <sz val="10"/>
      <color rgb="FF8C8C8C"/>
      <name val="Arial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D2B72"/>
      </patternFill>
    </fill>
    <fill>
      <patternFill patternType="solid">
        <fgColor rgb="FF0D6E6E"/>
      </patternFill>
    </fill>
    <fill>
      <patternFill patternType="solid">
        <fgColor rgb="FFF2F4F8"/>
      </patternFill>
    </fill>
    <fill>
      <patternFill patternType="solid">
        <fgColor rgb="FFFFFFFF"/>
      </patternFill>
    </fill>
    <fill>
      <patternFill patternType="solid"/>
    </fill>
    <fill>
      <patternFill patternType="solid">
        <fgColor rgb="FFFFFF00"/>
      </patternFill>
    </fill>
    <fill>
      <patternFill patternType="solid">
        <fgColor rgb="FFC8A400"/>
      </patternFill>
    </fill>
    <fill>
      <patternFill patternType="solid">
        <fgColor rgb="FFFFF3CD"/>
      </patternFill>
    </fill>
    <fill>
      <patternFill patternType="solid">
        <fgColor rgb="FFD6EED6"/>
      </patternFill>
    </fill>
    <fill>
      <patternFill patternType="solid">
        <fgColor rgb="FFD9DCE3"/>
      </patternFill>
    </fill>
    <fill>
      <patternFill patternType="solid">
        <fgColor rgb="FFDCE6F8"/>
      </patternFill>
    </fill>
    <fill>
      <patternFill patternType="solid">
        <fgColor rgb="FFFDDEDE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8A400"/>
      </left>
      <right style="thin">
        <color rgb="FFC8A400"/>
      </right>
      <top style="thin">
        <color rgb="FFC8A400"/>
      </top>
      <bottom style="thin">
        <color rgb="FFC8A400"/>
      </bottom>
      <diagonal/>
    </border>
    <border>
      <left/>
      <right/>
      <top style="thin">
        <color rgb="FFC8A400"/>
      </top>
      <bottom style="thin">
        <color rgb="FFC8A400"/>
      </bottom>
      <diagonal/>
    </border>
    <border>
      <left/>
      <right style="thin">
        <color rgb="FFC8A400"/>
      </right>
      <top style="thin">
        <color rgb="FFC8A400"/>
      </top>
      <bottom style="thin">
        <color rgb="FFC8A400"/>
      </bottom>
      <diagonal/>
    </border>
    <border>
      <left style="medium">
        <color rgb="FF1D2B72"/>
      </left>
      <right style="medium">
        <color rgb="FF1D2B72"/>
      </right>
      <top style="medium">
        <color rgb="FF1D2B72"/>
      </top>
      <bottom style="medium">
        <color rgb="FF1D2B72"/>
      </bottom>
      <diagonal/>
    </border>
    <border>
      <left/>
      <right/>
      <top style="medium">
        <color rgb="FF1D2B72"/>
      </top>
      <bottom style="medium">
        <color rgb="FF1D2B72"/>
      </bottom>
      <diagonal/>
    </border>
    <border>
      <left/>
      <right style="medium">
        <color rgb="FF1D2B72"/>
      </right>
      <top style="medium">
        <color rgb="FF1D2B72"/>
      </top>
      <bottom style="medium">
        <color rgb="FF1D2B72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166"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/>
    </xf>
    <xf numFmtId="164" fontId="13" fillId="4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13" fillId="7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166" fontId="13" fillId="7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167" fontId="13" fillId="7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8" fontId="6" fillId="4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168" fontId="6" fillId="5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168" fontId="15" fillId="4" borderId="1" xfId="0" applyNumberFormat="1" applyFont="1" applyFill="1" applyBorder="1" applyAlignment="1">
      <alignment horizontal="right" vertical="center"/>
    </xf>
    <xf numFmtId="168" fontId="15" fillId="5" borderId="1" xfId="0" applyNumberFormat="1" applyFont="1" applyFill="1" applyBorder="1" applyAlignment="1">
      <alignment horizontal="right" vertical="center"/>
    </xf>
    <xf numFmtId="167" fontId="16" fillId="4" borderId="1" xfId="0" applyNumberFormat="1" applyFont="1" applyFill="1" applyBorder="1" applyAlignment="1">
      <alignment horizontal="right" vertical="center"/>
    </xf>
    <xf numFmtId="167" fontId="17" fillId="4" borderId="1" xfId="0" applyNumberFormat="1" applyFont="1" applyFill="1" applyBorder="1" applyAlignment="1">
      <alignment horizontal="right" vertical="center"/>
    </xf>
    <xf numFmtId="167" fontId="16" fillId="5" borderId="1" xfId="0" applyNumberFormat="1" applyFont="1" applyFill="1" applyBorder="1" applyAlignment="1">
      <alignment horizontal="right" vertical="center"/>
    </xf>
    <xf numFmtId="167" fontId="17" fillId="5" borderId="1" xfId="0" applyNumberFormat="1" applyFont="1" applyFill="1" applyBorder="1" applyAlignment="1">
      <alignment horizontal="right" vertical="center"/>
    </xf>
    <xf numFmtId="167" fontId="13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167" fontId="13" fillId="5" borderId="1" xfId="0" applyNumberFormat="1" applyFont="1" applyFill="1" applyBorder="1" applyAlignment="1">
      <alignment horizontal="right" vertical="center"/>
    </xf>
    <xf numFmtId="169" fontId="13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168" fontId="8" fillId="10" borderId="1" xfId="0" applyNumberFormat="1" applyFont="1" applyFill="1" applyBorder="1" applyAlignment="1">
      <alignment horizontal="right" vertical="center"/>
    </xf>
    <xf numFmtId="167" fontId="15" fillId="5" borderId="1" xfId="0" applyNumberFormat="1" applyFont="1" applyFill="1" applyBorder="1" applyAlignment="1">
      <alignment horizontal="right" vertical="center"/>
    </xf>
    <xf numFmtId="167" fontId="15" fillId="4" borderId="1" xfId="0" applyNumberFormat="1" applyFont="1" applyFill="1" applyBorder="1" applyAlignment="1">
      <alignment horizontal="right" vertical="center"/>
    </xf>
    <xf numFmtId="164" fontId="15" fillId="5" borderId="1" xfId="0" applyNumberFormat="1" applyFont="1" applyFill="1" applyBorder="1" applyAlignment="1">
      <alignment horizontal="right" vertical="center"/>
    </xf>
    <xf numFmtId="164" fontId="15" fillId="4" borderId="1" xfId="0" applyNumberFormat="1" applyFont="1" applyFill="1" applyBorder="1" applyAlignment="1">
      <alignment horizontal="right" vertical="center"/>
    </xf>
    <xf numFmtId="0" fontId="19" fillId="11" borderId="0" xfId="0" applyFont="1" applyFill="1" applyAlignment="1">
      <alignment horizontal="left" vertical="center"/>
    </xf>
    <xf numFmtId="0" fontId="20" fillId="1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168" fontId="6" fillId="10" borderId="7" xfId="0" applyNumberFormat="1" applyFont="1" applyFill="1" applyBorder="1" applyAlignment="1">
      <alignment horizontal="center" vertical="center"/>
    </xf>
    <xf numFmtId="168" fontId="6" fillId="12" borderId="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68" fontId="5" fillId="12" borderId="7" xfId="0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left" vertical="center"/>
    </xf>
    <xf numFmtId="0" fontId="20" fillId="11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8" fontId="6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8" fontId="8" fillId="10" borderId="1" xfId="0" applyNumberFormat="1" applyFont="1" applyFill="1" applyBorder="1" applyAlignment="1">
      <alignment horizontal="center" vertical="center"/>
    </xf>
    <xf numFmtId="167" fontId="6" fillId="10" borderId="1" xfId="0" applyNumberFormat="1" applyFont="1" applyFill="1" applyBorder="1" applyAlignment="1">
      <alignment horizontal="center" vertical="center"/>
    </xf>
    <xf numFmtId="170" fontId="8" fillId="10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8" fontId="6" fillId="5" borderId="1" xfId="0" applyNumberFormat="1" applyFont="1" applyFill="1" applyBorder="1" applyAlignment="1">
      <alignment horizontal="center" vertical="center"/>
    </xf>
    <xf numFmtId="168" fontId="8" fillId="5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8" fontId="8" fillId="4" borderId="1" xfId="0" applyNumberFormat="1" applyFont="1" applyFill="1" applyBorder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 vertical="center"/>
    </xf>
    <xf numFmtId="170" fontId="8" fillId="4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68" fontId="6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68" fontId="8" fillId="13" borderId="1" xfId="0" applyNumberFormat="1" applyFont="1" applyFill="1" applyBorder="1" applyAlignment="1">
      <alignment horizontal="center" vertical="center"/>
    </xf>
    <xf numFmtId="167" fontId="6" fillId="13" borderId="1" xfId="0" applyNumberFormat="1" applyFont="1" applyFill="1" applyBorder="1" applyAlignment="1">
      <alignment horizontal="center" vertical="center"/>
    </xf>
    <xf numFmtId="170" fontId="8" fillId="13" borderId="1" xfId="0" applyNumberFormat="1" applyFont="1" applyFill="1" applyBorder="1" applyAlignment="1">
      <alignment horizontal="center" vertical="center"/>
    </xf>
    <xf numFmtId="167" fontId="5" fillId="12" borderId="7" xfId="0" applyNumberFormat="1" applyFont="1" applyFill="1" applyBorder="1" applyAlignment="1">
      <alignment horizontal="center" vertical="center"/>
    </xf>
    <xf numFmtId="170" fontId="23" fillId="10" borderId="7" xfId="0" applyNumberFormat="1" applyFont="1" applyFill="1" applyBorder="1" applyAlignment="1">
      <alignment horizontal="right" vertical="center"/>
    </xf>
    <xf numFmtId="170" fontId="13" fillId="12" borderId="1" xfId="0" applyNumberFormat="1" applyFont="1" applyFill="1" applyBorder="1" applyAlignment="1">
      <alignment horizontal="right" vertical="center"/>
    </xf>
    <xf numFmtId="170" fontId="6" fillId="9" borderId="1" xfId="0" applyNumberFormat="1" applyFont="1" applyFill="1" applyBorder="1" applyAlignment="1">
      <alignment horizontal="right" vertical="center"/>
    </xf>
    <xf numFmtId="167" fontId="6" fillId="9" borderId="1" xfId="0" applyNumberFormat="1" applyFont="1" applyFill="1" applyBorder="1" applyAlignment="1">
      <alignment horizontal="right" vertical="center"/>
    </xf>
    <xf numFmtId="170" fontId="6" fillId="4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/>
    </xf>
    <xf numFmtId="168" fontId="4" fillId="2" borderId="1" xfId="0" applyNumberFormat="1" applyFont="1" applyFill="1" applyBorder="1" applyAlignment="1">
      <alignment horizontal="right" vertical="center"/>
    </xf>
    <xf numFmtId="167" fontId="4" fillId="2" borderId="1" xfId="0" applyNumberFormat="1" applyFont="1" applyFill="1" applyBorder="1" applyAlignment="1">
      <alignment horizontal="right" vertical="center"/>
    </xf>
    <xf numFmtId="0" fontId="24" fillId="0" borderId="0" xfId="0" applyFont="1"/>
    <xf numFmtId="0" fontId="14" fillId="0" borderId="0" xfId="0" applyFont="1"/>
    <xf numFmtId="9" fontId="5" fillId="11" borderId="1" xfId="0" applyNumberFormat="1" applyFont="1" applyFill="1" applyBorder="1" applyAlignment="1">
      <alignment horizontal="center" vertical="center"/>
    </xf>
    <xf numFmtId="0" fontId="14" fillId="4" borderId="1" xfId="0" quotePrefix="1" applyFont="1" applyFill="1" applyBorder="1" applyAlignment="1">
      <alignment horizontal="left" vertical="center" wrapText="1"/>
    </xf>
    <xf numFmtId="0" fontId="14" fillId="5" borderId="1" xfId="0" quotePrefix="1" applyFont="1" applyFill="1" applyBorder="1" applyAlignment="1">
      <alignment horizontal="left" vertical="center" wrapText="1"/>
    </xf>
    <xf numFmtId="0" fontId="14" fillId="4" borderId="1" xfId="0" quotePrefix="1" applyFont="1" applyFill="1" applyBorder="1" applyAlignment="1">
      <alignment horizontal="left" vertical="center"/>
    </xf>
    <xf numFmtId="0" fontId="14" fillId="5" borderId="1" xfId="0" quotePrefix="1" applyFont="1" applyFill="1" applyBorder="1" applyAlignment="1">
      <alignment horizontal="left" vertical="center"/>
    </xf>
    <xf numFmtId="9" fontId="6" fillId="5" borderId="1" xfId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6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5" fillId="12" borderId="1" xfId="0" applyFont="1" applyFill="1" applyBorder="1"/>
    <xf numFmtId="0" fontId="4" fillId="8" borderId="1" xfId="0" applyFont="1" applyFill="1" applyBorder="1" applyAlignment="1">
      <alignment horizontal="left" vertical="center"/>
    </xf>
    <xf numFmtId="0" fontId="22" fillId="10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6" fillId="1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0" borderId="0" xfId="0"/>
    <xf numFmtId="0" fontId="14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wrapText="1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9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4" fillId="5" borderId="1" xfId="0" quotePrefix="1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4" borderId="1" xfId="0" quotePrefix="1" applyFont="1" applyFill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168" fontId="8" fillId="5" borderId="1" xfId="0" applyNumberFormat="1" applyFont="1" applyFill="1" applyBorder="1" applyAlignment="1">
      <alignment horizontal="right" vertical="center"/>
    </xf>
    <xf numFmtId="168" fontId="7" fillId="4" borderId="1" xfId="0" applyNumberFormat="1" applyFont="1" applyFill="1" applyBorder="1" applyAlignment="1">
      <alignment horizontal="right" vertical="center"/>
    </xf>
    <xf numFmtId="171" fontId="8" fillId="5" borderId="1" xfId="0" applyNumberFormat="1" applyFont="1" applyFill="1" applyBorder="1" applyAlignment="1">
      <alignment horizontal="right" vertical="center"/>
    </xf>
    <xf numFmtId="167" fontId="8" fillId="4" borderId="1" xfId="0" applyNumberFormat="1" applyFont="1" applyFill="1" applyBorder="1" applyAlignment="1">
      <alignment horizontal="right" vertical="center"/>
    </xf>
    <xf numFmtId="167" fontId="8" fillId="5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showGridLines="0" tabSelected="1" workbookViewId="0">
      <selection activeCell="N9" sqref="N9"/>
    </sheetView>
  </sheetViews>
  <sheetFormatPr defaultRowHeight="14.4" x14ac:dyDescent="0.3"/>
  <cols>
    <col min="1" max="1" width="2" customWidth="1"/>
    <col min="2" max="10" width="16" customWidth="1"/>
  </cols>
  <sheetData>
    <row r="1" spans="2:10" ht="7.95" customHeight="1" x14ac:dyDescent="0.3"/>
    <row r="2" spans="2:10" ht="55.05" customHeight="1" x14ac:dyDescent="0.3">
      <c r="B2" s="128" t="s">
        <v>0</v>
      </c>
      <c r="C2" s="113"/>
      <c r="D2" s="113"/>
      <c r="E2" s="113"/>
      <c r="F2" s="113"/>
      <c r="G2" s="113"/>
      <c r="H2" s="113"/>
      <c r="I2" s="113"/>
      <c r="J2" s="113"/>
    </row>
    <row r="3" spans="2:10" ht="30" customHeight="1" x14ac:dyDescent="0.3">
      <c r="B3" s="129" t="s">
        <v>1</v>
      </c>
      <c r="C3" s="113"/>
      <c r="D3" s="113"/>
      <c r="E3" s="113"/>
      <c r="F3" s="113"/>
      <c r="G3" s="113"/>
      <c r="H3" s="113"/>
      <c r="I3" s="113"/>
      <c r="J3" s="113"/>
    </row>
    <row r="4" spans="2:10" ht="19.95" customHeight="1" x14ac:dyDescent="0.3">
      <c r="B4" s="130" t="s">
        <v>2</v>
      </c>
      <c r="C4" s="113"/>
      <c r="D4" s="113"/>
      <c r="E4" s="113"/>
      <c r="F4" s="113"/>
      <c r="G4" s="113"/>
      <c r="H4" s="113"/>
      <c r="I4" s="113"/>
      <c r="J4" s="113"/>
    </row>
    <row r="5" spans="2:10" ht="7.95" customHeight="1" x14ac:dyDescent="0.3"/>
    <row r="7" spans="2:10" ht="18" customHeight="1" x14ac:dyDescent="0.3">
      <c r="B7" s="125" t="s">
        <v>3</v>
      </c>
      <c r="C7" s="113"/>
      <c r="D7" s="113"/>
      <c r="E7" s="113"/>
      <c r="F7" s="113"/>
      <c r="G7" s="113"/>
      <c r="H7" s="113"/>
      <c r="I7" s="113"/>
      <c r="J7" s="113"/>
    </row>
    <row r="8" spans="2:10" ht="16.05" customHeight="1" x14ac:dyDescent="0.3">
      <c r="B8" s="127" t="s">
        <v>4</v>
      </c>
      <c r="C8" s="102"/>
      <c r="D8" s="103"/>
      <c r="E8" s="104" t="s">
        <v>5</v>
      </c>
      <c r="F8" s="102"/>
      <c r="G8" s="102"/>
      <c r="H8" s="102"/>
      <c r="I8" s="102"/>
      <c r="J8" s="103"/>
    </row>
    <row r="9" spans="2:10" ht="16.05" customHeight="1" x14ac:dyDescent="0.3">
      <c r="B9" s="126" t="s">
        <v>6</v>
      </c>
      <c r="C9" s="102"/>
      <c r="D9" s="103"/>
      <c r="E9" s="118" t="s">
        <v>7</v>
      </c>
      <c r="F9" s="102"/>
      <c r="G9" s="102"/>
      <c r="H9" s="102"/>
      <c r="I9" s="102"/>
      <c r="J9" s="103"/>
    </row>
    <row r="10" spans="2:10" ht="16.05" customHeight="1" x14ac:dyDescent="0.3">
      <c r="B10" s="127" t="s">
        <v>8</v>
      </c>
      <c r="C10" s="102"/>
      <c r="D10" s="103"/>
      <c r="E10" s="104" t="s">
        <v>9</v>
      </c>
      <c r="F10" s="102"/>
      <c r="G10" s="102"/>
      <c r="H10" s="102"/>
      <c r="I10" s="102"/>
      <c r="J10" s="103"/>
    </row>
    <row r="11" spans="2:10" ht="16.05" customHeight="1" x14ac:dyDescent="0.3">
      <c r="B11" s="126" t="s">
        <v>10</v>
      </c>
      <c r="C11" s="102"/>
      <c r="D11" s="103"/>
      <c r="E11" s="118" t="s">
        <v>11</v>
      </c>
      <c r="F11" s="102"/>
      <c r="G11" s="102"/>
      <c r="H11" s="102"/>
      <c r="I11" s="102"/>
      <c r="J11" s="103"/>
    </row>
    <row r="12" spans="2:10" ht="16.05" customHeight="1" x14ac:dyDescent="0.3">
      <c r="B12" s="127" t="s">
        <v>12</v>
      </c>
      <c r="C12" s="102"/>
      <c r="D12" s="103"/>
      <c r="E12" s="104" t="s">
        <v>13</v>
      </c>
      <c r="F12" s="102"/>
      <c r="G12" s="102"/>
      <c r="H12" s="102"/>
      <c r="I12" s="102"/>
      <c r="J12" s="103"/>
    </row>
    <row r="13" spans="2:10" ht="16.05" customHeight="1" x14ac:dyDescent="0.3">
      <c r="B13" s="126" t="s">
        <v>14</v>
      </c>
      <c r="C13" s="102"/>
      <c r="D13" s="103"/>
      <c r="E13" s="118" t="s">
        <v>15</v>
      </c>
      <c r="F13" s="102"/>
      <c r="G13" s="102"/>
      <c r="H13" s="102"/>
      <c r="I13" s="102"/>
      <c r="J13" s="103"/>
    </row>
    <row r="14" spans="2:10" ht="16.05" customHeight="1" x14ac:dyDescent="0.3">
      <c r="B14" s="127" t="s">
        <v>16</v>
      </c>
      <c r="C14" s="102"/>
      <c r="D14" s="103"/>
      <c r="E14" s="104" t="s">
        <v>17</v>
      </c>
      <c r="F14" s="102"/>
      <c r="G14" s="102"/>
      <c r="H14" s="102"/>
      <c r="I14" s="102"/>
      <c r="J14" s="103"/>
    </row>
    <row r="15" spans="2:10" ht="16.05" customHeight="1" x14ac:dyDescent="0.3">
      <c r="B15" s="126" t="s">
        <v>18</v>
      </c>
      <c r="C15" s="102"/>
      <c r="D15" s="103"/>
      <c r="E15" s="118" t="s">
        <v>19</v>
      </c>
      <c r="F15" s="102"/>
      <c r="G15" s="102"/>
      <c r="H15" s="102"/>
      <c r="I15" s="102"/>
      <c r="J15" s="103"/>
    </row>
    <row r="16" spans="2:10" ht="16.05" customHeight="1" x14ac:dyDescent="0.3">
      <c r="B16" s="127" t="s">
        <v>20</v>
      </c>
      <c r="C16" s="102"/>
      <c r="D16" s="103"/>
      <c r="E16" s="104" t="s">
        <v>21</v>
      </c>
      <c r="F16" s="102"/>
      <c r="G16" s="102"/>
      <c r="H16" s="102"/>
      <c r="I16" s="102"/>
      <c r="J16" s="103"/>
    </row>
    <row r="17" spans="2:10" ht="16.05" customHeight="1" x14ac:dyDescent="0.3">
      <c r="B17" s="126" t="s">
        <v>22</v>
      </c>
      <c r="C17" s="102"/>
      <c r="D17" s="103"/>
      <c r="E17" s="118" t="s">
        <v>23</v>
      </c>
      <c r="F17" s="102"/>
      <c r="G17" s="102"/>
      <c r="H17" s="102"/>
      <c r="I17" s="102"/>
      <c r="J17" s="103"/>
    </row>
    <row r="20" spans="2:10" ht="18" customHeight="1" x14ac:dyDescent="0.3">
      <c r="B20" s="125" t="s">
        <v>24</v>
      </c>
      <c r="C20" s="113"/>
      <c r="D20" s="113"/>
      <c r="E20" s="113"/>
      <c r="F20" s="113"/>
      <c r="G20" s="113"/>
      <c r="H20" s="113"/>
      <c r="I20" s="113"/>
      <c r="J20" s="113"/>
    </row>
    <row r="21" spans="2:10" ht="16.05" customHeight="1" x14ac:dyDescent="0.3">
      <c r="B21" s="124" t="s">
        <v>25</v>
      </c>
      <c r="C21" s="103"/>
      <c r="D21" s="104" t="s">
        <v>26</v>
      </c>
      <c r="E21" s="102"/>
      <c r="F21" s="102"/>
      <c r="G21" s="102"/>
      <c r="H21" s="102"/>
      <c r="I21" s="102"/>
      <c r="J21" s="103"/>
    </row>
    <row r="22" spans="2:10" ht="16.05" customHeight="1" x14ac:dyDescent="0.3">
      <c r="B22" s="121" t="s">
        <v>27</v>
      </c>
      <c r="C22" s="103"/>
      <c r="D22" s="118" t="s">
        <v>28</v>
      </c>
      <c r="E22" s="102"/>
      <c r="F22" s="102"/>
      <c r="G22" s="102"/>
      <c r="H22" s="102"/>
      <c r="I22" s="102"/>
      <c r="J22" s="103"/>
    </row>
    <row r="23" spans="2:10" ht="16.05" customHeight="1" x14ac:dyDescent="0.3">
      <c r="B23" s="124" t="s">
        <v>29</v>
      </c>
      <c r="C23" s="103"/>
      <c r="D23" s="104" t="s">
        <v>30</v>
      </c>
      <c r="E23" s="102"/>
      <c r="F23" s="102"/>
      <c r="G23" s="102"/>
      <c r="H23" s="102"/>
      <c r="I23" s="102"/>
      <c r="J23" s="103"/>
    </row>
    <row r="24" spans="2:10" ht="16.05" customHeight="1" x14ac:dyDescent="0.3">
      <c r="B24" s="121" t="s">
        <v>31</v>
      </c>
      <c r="C24" s="103"/>
      <c r="D24" s="118" t="s">
        <v>32</v>
      </c>
      <c r="E24" s="102"/>
      <c r="F24" s="102"/>
      <c r="G24" s="102"/>
      <c r="H24" s="102"/>
      <c r="I24" s="102"/>
      <c r="J24" s="103"/>
    </row>
    <row r="25" spans="2:10" ht="16.05" customHeight="1" x14ac:dyDescent="0.3">
      <c r="B25" s="124" t="s">
        <v>33</v>
      </c>
      <c r="C25" s="103"/>
      <c r="D25" s="104" t="s">
        <v>34</v>
      </c>
      <c r="E25" s="102"/>
      <c r="F25" s="102"/>
      <c r="G25" s="102"/>
      <c r="H25" s="102"/>
      <c r="I25" s="102"/>
      <c r="J25" s="103"/>
    </row>
    <row r="26" spans="2:10" ht="16.05" customHeight="1" x14ac:dyDescent="0.3">
      <c r="B26" s="121" t="s">
        <v>35</v>
      </c>
      <c r="C26" s="103"/>
      <c r="D26" s="118" t="s">
        <v>36</v>
      </c>
      <c r="E26" s="102"/>
      <c r="F26" s="102"/>
      <c r="G26" s="102"/>
      <c r="H26" s="102"/>
      <c r="I26" s="102"/>
      <c r="J26" s="103"/>
    </row>
    <row r="29" spans="2:10" ht="18" customHeight="1" x14ac:dyDescent="0.3">
      <c r="B29" s="122" t="s">
        <v>37</v>
      </c>
      <c r="C29" s="113"/>
      <c r="D29" s="113"/>
      <c r="E29" s="113"/>
      <c r="F29" s="113"/>
      <c r="G29" s="113"/>
      <c r="H29" s="113"/>
      <c r="I29" s="113"/>
      <c r="J29" s="113"/>
    </row>
    <row r="30" spans="2:10" ht="15" customHeight="1" x14ac:dyDescent="0.3">
      <c r="B30" s="123" t="s">
        <v>38</v>
      </c>
      <c r="C30" s="103"/>
      <c r="D30" s="104" t="s">
        <v>39</v>
      </c>
      <c r="E30" s="102"/>
      <c r="F30" s="102"/>
      <c r="G30" s="102"/>
      <c r="H30" s="102"/>
      <c r="I30" s="102"/>
      <c r="J30" s="103"/>
    </row>
    <row r="31" spans="2:10" ht="15" customHeight="1" x14ac:dyDescent="0.3">
      <c r="B31" s="117" t="s">
        <v>40</v>
      </c>
      <c r="C31" s="103"/>
      <c r="D31" s="118" t="s">
        <v>41</v>
      </c>
      <c r="E31" s="102"/>
      <c r="F31" s="102"/>
      <c r="G31" s="102"/>
      <c r="H31" s="102"/>
      <c r="I31" s="102"/>
      <c r="J31" s="103"/>
    </row>
    <row r="32" spans="2:10" ht="15" customHeight="1" x14ac:dyDescent="0.3">
      <c r="B32" s="119" t="s">
        <v>42</v>
      </c>
      <c r="C32" s="103"/>
      <c r="D32" s="104" t="s">
        <v>43</v>
      </c>
      <c r="E32" s="102"/>
      <c r="F32" s="102"/>
      <c r="G32" s="102"/>
      <c r="H32" s="102"/>
      <c r="I32" s="102"/>
      <c r="J32" s="103"/>
    </row>
    <row r="33" spans="2:10" ht="15" customHeight="1" x14ac:dyDescent="0.3">
      <c r="B33" s="120" t="s">
        <v>44</v>
      </c>
      <c r="C33" s="103"/>
      <c r="D33" s="118" t="s">
        <v>45</v>
      </c>
      <c r="E33" s="102"/>
      <c r="F33" s="102"/>
      <c r="G33" s="102"/>
      <c r="H33" s="102"/>
      <c r="I33" s="102"/>
      <c r="J33" s="103"/>
    </row>
    <row r="36" spans="2:10" ht="13.05" customHeight="1" x14ac:dyDescent="0.3">
      <c r="B36" s="116" t="s">
        <v>46</v>
      </c>
      <c r="C36" s="113"/>
      <c r="D36" s="113"/>
      <c r="E36" s="113"/>
      <c r="F36" s="113"/>
      <c r="G36" s="113"/>
      <c r="H36" s="113"/>
      <c r="I36" s="113"/>
      <c r="J36" s="113"/>
    </row>
  </sheetData>
  <mergeCells count="47">
    <mergeCell ref="B2:J2"/>
    <mergeCell ref="B3:J3"/>
    <mergeCell ref="B4:J4"/>
    <mergeCell ref="B7:J7"/>
    <mergeCell ref="B8:D8"/>
    <mergeCell ref="E8:J8"/>
    <mergeCell ref="B9:D9"/>
    <mergeCell ref="E9:J9"/>
    <mergeCell ref="B10:D10"/>
    <mergeCell ref="E10:J10"/>
    <mergeCell ref="B11:D11"/>
    <mergeCell ref="E11:J11"/>
    <mergeCell ref="B12:D12"/>
    <mergeCell ref="E12:J12"/>
    <mergeCell ref="B13:D13"/>
    <mergeCell ref="E13:J13"/>
    <mergeCell ref="B14:D14"/>
    <mergeCell ref="E14:J14"/>
    <mergeCell ref="B15:D15"/>
    <mergeCell ref="E15:J15"/>
    <mergeCell ref="B16:D16"/>
    <mergeCell ref="E16:J16"/>
    <mergeCell ref="B17:D17"/>
    <mergeCell ref="E17:J17"/>
    <mergeCell ref="B20:J20"/>
    <mergeCell ref="B21:C21"/>
    <mergeCell ref="D21:J21"/>
    <mergeCell ref="B22:C22"/>
    <mergeCell ref="D22:J22"/>
    <mergeCell ref="B23:C23"/>
    <mergeCell ref="D23:J23"/>
    <mergeCell ref="B24:C24"/>
    <mergeCell ref="D24:J24"/>
    <mergeCell ref="B25:C25"/>
    <mergeCell ref="D25:J25"/>
    <mergeCell ref="B26:C26"/>
    <mergeCell ref="D26:J26"/>
    <mergeCell ref="B29:J29"/>
    <mergeCell ref="B30:C30"/>
    <mergeCell ref="D30:J30"/>
    <mergeCell ref="B36:J36"/>
    <mergeCell ref="B31:C31"/>
    <mergeCell ref="D31:J31"/>
    <mergeCell ref="B32:C32"/>
    <mergeCell ref="D32:J32"/>
    <mergeCell ref="B33:C33"/>
    <mergeCell ref="D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8"/>
  <sheetViews>
    <sheetView showGridLines="0" topLeftCell="A3" workbookViewId="0">
      <selection activeCell="C16" sqref="C16"/>
    </sheetView>
  </sheetViews>
  <sheetFormatPr defaultRowHeight="14.4" x14ac:dyDescent="0.3"/>
  <cols>
    <col min="1" max="1" width="2" customWidth="1"/>
    <col min="2" max="2" width="38" customWidth="1"/>
    <col min="3" max="3" width="18" customWidth="1"/>
    <col min="4" max="4" width="48.6640625" bestFit="1" customWidth="1"/>
    <col min="5" max="5" width="2" customWidth="1"/>
    <col min="6" max="6" width="38" customWidth="1"/>
    <col min="7" max="7" width="18" customWidth="1"/>
    <col min="8" max="8" width="22" customWidth="1"/>
  </cols>
  <sheetData>
    <row r="1" spans="2:8" ht="28.05" customHeight="1" x14ac:dyDescent="0.3">
      <c r="B1" s="112" t="s">
        <v>47</v>
      </c>
      <c r="C1" s="113"/>
      <c r="D1" s="113"/>
      <c r="E1" s="113"/>
      <c r="F1" s="113"/>
      <c r="G1" s="113"/>
      <c r="H1" s="113"/>
    </row>
    <row r="2" spans="2:8" ht="6" customHeight="1" x14ac:dyDescent="0.3"/>
    <row r="3" spans="2:8" ht="18" customHeight="1" x14ac:dyDescent="0.3">
      <c r="B3" s="158" t="s">
        <v>48</v>
      </c>
      <c r="C3" s="159"/>
      <c r="D3" s="159"/>
      <c r="E3" s="150"/>
      <c r="F3" s="151"/>
      <c r="G3" s="151"/>
      <c r="H3" s="151"/>
    </row>
    <row r="4" spans="2:8" ht="15" customHeight="1" x14ac:dyDescent="0.3">
      <c r="B4" s="3" t="s">
        <v>49</v>
      </c>
      <c r="C4" s="8">
        <v>65.599999999999994</v>
      </c>
      <c r="D4" s="9" t="s">
        <v>50</v>
      </c>
    </row>
    <row r="5" spans="2:8" ht="15" customHeight="1" x14ac:dyDescent="0.3">
      <c r="B5" s="5" t="s">
        <v>51</v>
      </c>
      <c r="C5" s="8">
        <v>111.4</v>
      </c>
      <c r="D5" s="10" t="s">
        <v>52</v>
      </c>
    </row>
    <row r="6" spans="2:8" ht="15" customHeight="1" x14ac:dyDescent="0.3">
      <c r="B6" s="3" t="s">
        <v>53</v>
      </c>
      <c r="C6" s="11">
        <f>C4*C5</f>
        <v>7307.84</v>
      </c>
      <c r="D6" s="9">
        <f>C4 * C5</f>
        <v>7307.84</v>
      </c>
    </row>
    <row r="7" spans="2:8" ht="15" customHeight="1" x14ac:dyDescent="0.3">
      <c r="B7" s="5" t="s">
        <v>54</v>
      </c>
      <c r="C7" s="8">
        <v>20.65</v>
      </c>
      <c r="D7" s="10" t="s">
        <v>50</v>
      </c>
    </row>
    <row r="8" spans="2:8" ht="15" customHeight="1" x14ac:dyDescent="0.3">
      <c r="B8" s="3" t="s">
        <v>55</v>
      </c>
      <c r="C8" s="12">
        <v>2300</v>
      </c>
      <c r="D8" s="9" t="s">
        <v>50</v>
      </c>
    </row>
    <row r="9" spans="2:8" ht="15" customHeight="1" x14ac:dyDescent="0.3">
      <c r="B9" s="5" t="s">
        <v>56</v>
      </c>
      <c r="C9" s="13">
        <v>4.5999999999999996</v>
      </c>
      <c r="D9" s="10" t="s">
        <v>57</v>
      </c>
    </row>
    <row r="10" spans="2:8" ht="15" customHeight="1" x14ac:dyDescent="0.3">
      <c r="B10" s="3" t="s">
        <v>58</v>
      </c>
      <c r="C10" s="12">
        <v>6.4</v>
      </c>
      <c r="D10" s="9" t="s">
        <v>59</v>
      </c>
    </row>
    <row r="11" spans="2:8" ht="15" customHeight="1" x14ac:dyDescent="0.3">
      <c r="B11" s="5" t="s">
        <v>60</v>
      </c>
      <c r="C11" s="13">
        <v>9.65</v>
      </c>
      <c r="D11" s="10" t="s">
        <v>61</v>
      </c>
    </row>
    <row r="12" spans="2:8" ht="15" customHeight="1" x14ac:dyDescent="0.3">
      <c r="B12" s="3" t="s">
        <v>62</v>
      </c>
      <c r="C12" s="11">
        <f>C9*C5</f>
        <v>512.43999999999994</v>
      </c>
      <c r="D12" s="96" t="s">
        <v>291</v>
      </c>
    </row>
    <row r="13" spans="2:8" ht="15" customHeight="1" x14ac:dyDescent="0.3">
      <c r="B13" s="5" t="s">
        <v>63</v>
      </c>
      <c r="C13" s="14">
        <f>C10*C5</f>
        <v>712.96</v>
      </c>
      <c r="D13" s="97" t="s">
        <v>292</v>
      </c>
    </row>
    <row r="14" spans="2:8" ht="15" customHeight="1" x14ac:dyDescent="0.3">
      <c r="B14" s="3" t="s">
        <v>64</v>
      </c>
      <c r="C14" s="11">
        <f>C11*C5</f>
        <v>1075.01</v>
      </c>
      <c r="D14" s="96" t="s">
        <v>293</v>
      </c>
    </row>
    <row r="15" spans="2:8" ht="15" customHeight="1" x14ac:dyDescent="0.3">
      <c r="B15" s="5" t="s">
        <v>65</v>
      </c>
      <c r="C15" s="8">
        <v>632</v>
      </c>
      <c r="D15" s="10" t="s">
        <v>66</v>
      </c>
    </row>
    <row r="16" spans="2:8" ht="15" customHeight="1" x14ac:dyDescent="0.3">
      <c r="B16" s="3" t="s">
        <v>67</v>
      </c>
      <c r="C16" s="12">
        <v>475</v>
      </c>
      <c r="D16" s="9" t="s">
        <v>66</v>
      </c>
    </row>
    <row r="17" spans="2:8" ht="15" customHeight="1" x14ac:dyDescent="0.3">
      <c r="B17" s="5" t="s">
        <v>68</v>
      </c>
      <c r="C17" s="14">
        <f>C6+C15+C16</f>
        <v>8414.84</v>
      </c>
      <c r="D17" s="10" t="s">
        <v>69</v>
      </c>
    </row>
    <row r="18" spans="2:8" ht="6" customHeight="1" x14ac:dyDescent="0.3"/>
    <row r="19" spans="2:8" ht="18" customHeight="1" x14ac:dyDescent="0.3">
      <c r="B19" s="158" t="s">
        <v>70</v>
      </c>
      <c r="C19" s="159"/>
      <c r="D19" s="159"/>
      <c r="E19" s="150"/>
      <c r="F19" s="151"/>
      <c r="G19" s="151"/>
      <c r="H19" s="151"/>
    </row>
    <row r="20" spans="2:8" ht="15" customHeight="1" x14ac:dyDescent="0.3">
      <c r="B20" s="3" t="s">
        <v>71</v>
      </c>
      <c r="C20" s="15">
        <v>4.4999999999999998E-2</v>
      </c>
      <c r="D20" s="16" t="s">
        <v>72</v>
      </c>
    </row>
    <row r="21" spans="2:8" ht="15" customHeight="1" x14ac:dyDescent="0.3">
      <c r="B21" s="5" t="s">
        <v>73</v>
      </c>
      <c r="C21" s="15">
        <v>0.55000000000000004</v>
      </c>
      <c r="D21" s="17" t="s">
        <v>74</v>
      </c>
    </row>
    <row r="22" spans="2:8" ht="15" customHeight="1" x14ac:dyDescent="0.3">
      <c r="B22" s="3" t="s">
        <v>75</v>
      </c>
      <c r="C22" s="18">
        <f>'Metsera rNPV'!C32</f>
        <v>2573.60464085578</v>
      </c>
      <c r="D22" s="16" t="s">
        <v>76</v>
      </c>
    </row>
    <row r="23" spans="2:8" ht="15" customHeight="1" x14ac:dyDescent="0.3">
      <c r="B23" s="5" t="s">
        <v>77</v>
      </c>
      <c r="C23" s="18">
        <v>0.5</v>
      </c>
      <c r="D23" s="17" t="s">
        <v>78</v>
      </c>
    </row>
    <row r="24" spans="2:8" ht="15" customHeight="1" x14ac:dyDescent="0.3">
      <c r="B24" s="3" t="s">
        <v>79</v>
      </c>
      <c r="C24" s="18">
        <v>3</v>
      </c>
      <c r="D24" s="16" t="s">
        <v>80</v>
      </c>
    </row>
    <row r="25" spans="2:8" ht="15" customHeight="1" x14ac:dyDescent="0.3">
      <c r="B25" s="5" t="s">
        <v>81</v>
      </c>
      <c r="C25" s="18">
        <v>4</v>
      </c>
      <c r="D25" s="17" t="s">
        <v>82</v>
      </c>
    </row>
    <row r="26" spans="2:8" ht="15" customHeight="1" x14ac:dyDescent="0.3">
      <c r="B26" s="3" t="s">
        <v>83</v>
      </c>
      <c r="C26" s="19">
        <f>C23</f>
        <v>0.5</v>
      </c>
      <c r="D26" s="98" t="s">
        <v>294</v>
      </c>
    </row>
    <row r="27" spans="2:8" ht="15" customHeight="1" x14ac:dyDescent="0.3">
      <c r="B27" s="5" t="s">
        <v>84</v>
      </c>
      <c r="C27" s="20">
        <f>C24-C23</f>
        <v>2.5</v>
      </c>
      <c r="D27" s="17"/>
    </row>
    <row r="28" spans="2:8" ht="15" customHeight="1" x14ac:dyDescent="0.3">
      <c r="B28" s="3" t="s">
        <v>85</v>
      </c>
      <c r="C28" s="19">
        <f>C25-C24</f>
        <v>1</v>
      </c>
      <c r="D28" s="16"/>
    </row>
    <row r="29" spans="2:8" ht="15" customHeight="1" x14ac:dyDescent="0.3">
      <c r="B29" s="5" t="s">
        <v>86</v>
      </c>
      <c r="C29" s="20">
        <f>EXP(C21*SQRT(C26))</f>
        <v>1.4753698876655597</v>
      </c>
      <c r="D29" s="99" t="s">
        <v>295</v>
      </c>
    </row>
    <row r="30" spans="2:8" ht="15" customHeight="1" x14ac:dyDescent="0.3">
      <c r="B30" s="3" t="s">
        <v>87</v>
      </c>
      <c r="C30" s="19">
        <f>1/C29</f>
        <v>0.67779612987918214</v>
      </c>
      <c r="D30" s="98" t="s">
        <v>297</v>
      </c>
    </row>
    <row r="31" spans="2:8" ht="15" customHeight="1" x14ac:dyDescent="0.3">
      <c r="B31" s="5" t="s">
        <v>88</v>
      </c>
      <c r="C31" s="20">
        <f>( EXP(C20*C26)-C30)/(C29-C30)</f>
        <v>0.43251034893961221</v>
      </c>
      <c r="D31" s="99" t="s">
        <v>296</v>
      </c>
    </row>
    <row r="32" spans="2:8" ht="15" customHeight="1" x14ac:dyDescent="0.3">
      <c r="B32" s="3" t="s">
        <v>89</v>
      </c>
      <c r="C32" s="19">
        <f>EXP(C21*SQRT(C27))</f>
        <v>2.386019166506185</v>
      </c>
      <c r="D32" s="98" t="s">
        <v>298</v>
      </c>
    </row>
    <row r="33" spans="2:8" ht="15" customHeight="1" x14ac:dyDescent="0.3">
      <c r="B33" s="5" t="s">
        <v>90</v>
      </c>
      <c r="C33" s="20">
        <f>1/C32</f>
        <v>0.41910811699986728</v>
      </c>
      <c r="D33" s="99" t="s">
        <v>299</v>
      </c>
    </row>
    <row r="34" spans="2:8" ht="15" customHeight="1" x14ac:dyDescent="0.3">
      <c r="B34" s="3" t="s">
        <v>91</v>
      </c>
      <c r="C34" s="19">
        <f>(EXP(C20*C27)-C33)/(C32-C33)</f>
        <v>0.35586974819659473</v>
      </c>
      <c r="D34" s="98" t="s">
        <v>300</v>
      </c>
    </row>
    <row r="35" spans="2:8" ht="15" customHeight="1" x14ac:dyDescent="0.3">
      <c r="B35" s="5" t="s">
        <v>92</v>
      </c>
      <c r="C35" s="20">
        <f>EXP(C21*SQRT(C28))</f>
        <v>1.7332530178673953</v>
      </c>
      <c r="D35" s="99" t="s">
        <v>301</v>
      </c>
    </row>
    <row r="36" spans="2:8" ht="15" customHeight="1" x14ac:dyDescent="0.3">
      <c r="B36" s="3" t="s">
        <v>93</v>
      </c>
      <c r="C36" s="19">
        <f>1/C35</f>
        <v>0.57694981038048665</v>
      </c>
      <c r="D36" s="98" t="s">
        <v>302</v>
      </c>
    </row>
    <row r="37" spans="2:8" ht="15" customHeight="1" x14ac:dyDescent="0.3">
      <c r="B37" s="5" t="s">
        <v>94</v>
      </c>
      <c r="C37" s="20">
        <f>(EXP(C20*C28)-C36)/(C35-C36)</f>
        <v>0.40567045606291902</v>
      </c>
      <c r="D37" s="99" t="s">
        <v>303</v>
      </c>
    </row>
    <row r="38" spans="2:8" ht="6" customHeight="1" x14ac:dyDescent="0.3"/>
    <row r="39" spans="2:8" ht="18" customHeight="1" x14ac:dyDescent="0.3">
      <c r="B39" s="155" t="s">
        <v>95</v>
      </c>
      <c r="C39" s="156"/>
      <c r="D39" s="157"/>
      <c r="E39" s="152"/>
      <c r="F39" s="153"/>
      <c r="G39" s="153"/>
      <c r="H39" s="154"/>
    </row>
    <row r="40" spans="2:8" ht="15" customHeight="1" x14ac:dyDescent="0.3">
      <c r="B40" s="3" t="s">
        <v>96</v>
      </c>
      <c r="C40" s="21">
        <v>0.85</v>
      </c>
      <c r="D40" s="16" t="s">
        <v>97</v>
      </c>
    </row>
    <row r="41" spans="2:8" ht="15" customHeight="1" x14ac:dyDescent="0.3">
      <c r="B41" s="5" t="s">
        <v>98</v>
      </c>
      <c r="C41" s="21">
        <v>0.62</v>
      </c>
      <c r="D41" s="17" t="s">
        <v>99</v>
      </c>
    </row>
    <row r="42" spans="2:8" ht="15" customHeight="1" x14ac:dyDescent="0.3">
      <c r="B42" s="3" t="s">
        <v>100</v>
      </c>
      <c r="C42" s="21">
        <v>0.55000000000000004</v>
      </c>
      <c r="D42" s="16" t="s">
        <v>101</v>
      </c>
    </row>
    <row r="43" spans="2:8" ht="15" customHeight="1" x14ac:dyDescent="0.3">
      <c r="B43" s="5" t="s">
        <v>102</v>
      </c>
      <c r="C43" s="22">
        <f>C41*C42</f>
        <v>0.34100000000000003</v>
      </c>
      <c r="D43" s="17"/>
    </row>
    <row r="44" spans="2:8" ht="6" customHeight="1" x14ac:dyDescent="0.3"/>
    <row r="45" spans="2:8" ht="18" customHeight="1" x14ac:dyDescent="0.3">
      <c r="B45" s="163" t="s">
        <v>103</v>
      </c>
      <c r="C45" s="164"/>
      <c r="D45" s="165"/>
      <c r="E45" s="160"/>
      <c r="F45" s="161"/>
      <c r="G45" s="161"/>
      <c r="H45" s="162"/>
    </row>
    <row r="46" spans="2:8" ht="15" customHeight="1" x14ac:dyDescent="0.3">
      <c r="B46" s="24" t="s">
        <v>104</v>
      </c>
      <c r="C46" s="25">
        <f>C22*0.5</f>
        <v>1286.80232042789</v>
      </c>
      <c r="D46" s="9" t="s">
        <v>105</v>
      </c>
    </row>
    <row r="47" spans="2:8" ht="15" customHeight="1" x14ac:dyDescent="0.3">
      <c r="B47" s="26" t="s">
        <v>106</v>
      </c>
      <c r="C47" s="27">
        <f>C22*0.7</f>
        <v>1801.5232485990459</v>
      </c>
      <c r="D47" s="10" t="s">
        <v>107</v>
      </c>
    </row>
    <row r="48" spans="2:8" ht="15" customHeight="1" x14ac:dyDescent="0.3">
      <c r="B48" s="24" t="s">
        <v>108</v>
      </c>
      <c r="C48" s="25">
        <f>C22*0.85</f>
        <v>2187.5639447274129</v>
      </c>
      <c r="D48" s="9" t="s">
        <v>109</v>
      </c>
    </row>
  </sheetData>
  <mergeCells count="9">
    <mergeCell ref="B1:H1"/>
    <mergeCell ref="B3:D3"/>
    <mergeCell ref="E3:H3"/>
    <mergeCell ref="B19:D19"/>
    <mergeCell ref="E19:H19"/>
    <mergeCell ref="E39:H39"/>
    <mergeCell ref="B39:D39"/>
    <mergeCell ref="E45:H45"/>
    <mergeCell ref="B45:D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9"/>
  <sheetViews>
    <sheetView showGridLines="0" workbookViewId="0">
      <selection activeCell="J6" sqref="J6"/>
    </sheetView>
  </sheetViews>
  <sheetFormatPr defaultRowHeight="14.4" x14ac:dyDescent="0.3"/>
  <cols>
    <col min="1" max="1" width="2" customWidth="1"/>
    <col min="2" max="2" width="38" customWidth="1"/>
    <col min="3" max="10" width="13" customWidth="1"/>
  </cols>
  <sheetData>
    <row r="1" spans="2:10" ht="28.05" customHeight="1" x14ac:dyDescent="0.3">
      <c r="B1" s="112" t="s">
        <v>110</v>
      </c>
      <c r="C1" s="113"/>
      <c r="D1" s="113"/>
      <c r="E1" s="113"/>
      <c r="F1" s="113"/>
      <c r="G1" s="113"/>
      <c r="H1" s="113"/>
      <c r="I1" s="113"/>
      <c r="J1" s="113"/>
    </row>
    <row r="2" spans="2:10" ht="24" customHeight="1" x14ac:dyDescent="0.3">
      <c r="B2" s="116" t="s">
        <v>111</v>
      </c>
      <c r="C2" s="113"/>
      <c r="D2" s="113"/>
      <c r="E2" s="113"/>
      <c r="F2" s="113"/>
      <c r="G2" s="113"/>
      <c r="H2" s="113"/>
      <c r="I2" s="113"/>
      <c r="J2" s="113"/>
    </row>
    <row r="4" spans="2:10" ht="28.05" customHeight="1" x14ac:dyDescent="0.3">
      <c r="B4" s="6" t="s">
        <v>112</v>
      </c>
      <c r="C4" s="28" t="s">
        <v>113</v>
      </c>
      <c r="D4" s="28" t="s">
        <v>114</v>
      </c>
      <c r="E4" s="28" t="s">
        <v>115</v>
      </c>
      <c r="F4" s="28" t="s">
        <v>116</v>
      </c>
      <c r="G4" s="28" t="s">
        <v>117</v>
      </c>
      <c r="H4" s="28" t="s">
        <v>118</v>
      </c>
      <c r="I4" s="28" t="s">
        <v>119</v>
      </c>
      <c r="J4" s="28" t="s">
        <v>120</v>
      </c>
    </row>
    <row r="5" spans="2:10" x14ac:dyDescent="0.3">
      <c r="B5" s="115" t="s">
        <v>121</v>
      </c>
      <c r="C5" s="102"/>
      <c r="D5" s="102"/>
      <c r="E5" s="102"/>
      <c r="F5" s="102"/>
      <c r="G5" s="102"/>
      <c r="H5" s="102"/>
      <c r="I5" s="102"/>
      <c r="J5" s="103"/>
    </row>
    <row r="6" spans="2:10" ht="15" customHeight="1" x14ac:dyDescent="0.3">
      <c r="B6" s="24" t="s">
        <v>122</v>
      </c>
      <c r="C6" s="25">
        <v>59553</v>
      </c>
      <c r="D6" s="25">
        <v>63627</v>
      </c>
      <c r="E6" s="25">
        <v>62579</v>
      </c>
      <c r="F6" s="29">
        <v>61331</v>
      </c>
      <c r="G6" s="29">
        <v>58676</v>
      </c>
      <c r="H6" s="29">
        <v>55677</v>
      </c>
      <c r="I6" s="29">
        <v>55162</v>
      </c>
      <c r="J6" s="29">
        <v>56282</v>
      </c>
    </row>
    <row r="7" spans="2:10" ht="15" customHeight="1" x14ac:dyDescent="0.3">
      <c r="B7" s="26" t="s">
        <v>123</v>
      </c>
      <c r="C7" s="27">
        <v>34599</v>
      </c>
      <c r="D7" s="27">
        <v>45776</v>
      </c>
      <c r="E7" s="27">
        <v>46512</v>
      </c>
      <c r="F7" s="30">
        <v>45584</v>
      </c>
      <c r="G7" s="30">
        <v>43611</v>
      </c>
      <c r="H7" s="30">
        <v>41382</v>
      </c>
      <c r="I7" s="30">
        <v>40889</v>
      </c>
      <c r="J7" s="30">
        <v>41607</v>
      </c>
    </row>
    <row r="8" spans="2:10" ht="15" customHeight="1" x14ac:dyDescent="0.3">
      <c r="B8" s="3" t="s">
        <v>124</v>
      </c>
      <c r="C8" s="31">
        <v>0.58097828824744346</v>
      </c>
      <c r="D8" s="31">
        <v>0.71944300375626702</v>
      </c>
      <c r="E8" s="31">
        <v>0.74325252880359227</v>
      </c>
      <c r="F8" s="32">
        <v>0.74324566695472105</v>
      </c>
      <c r="G8" s="32">
        <v>0.74325107369282162</v>
      </c>
      <c r="H8" s="32">
        <v>0.74325125276146342</v>
      </c>
      <c r="I8" s="32">
        <v>0.74125303651064134</v>
      </c>
      <c r="J8" s="32">
        <v>0.73925944351657724</v>
      </c>
    </row>
    <row r="9" spans="2:10" ht="15" customHeight="1" x14ac:dyDescent="0.3">
      <c r="B9" s="26" t="s">
        <v>125</v>
      </c>
      <c r="C9" s="27">
        <v>7932</v>
      </c>
      <c r="D9" s="27">
        <v>17582</v>
      </c>
      <c r="E9" s="27">
        <v>16181</v>
      </c>
      <c r="F9" s="30">
        <v>15092</v>
      </c>
      <c r="G9" s="30">
        <v>14583</v>
      </c>
      <c r="H9" s="30">
        <v>13817</v>
      </c>
      <c r="I9" s="30">
        <v>13811</v>
      </c>
      <c r="J9" s="30">
        <v>14487</v>
      </c>
    </row>
    <row r="10" spans="2:10" ht="15" customHeight="1" x14ac:dyDescent="0.3">
      <c r="B10" s="3" t="s">
        <v>126</v>
      </c>
      <c r="C10" s="31">
        <v>0.1331922825046597</v>
      </c>
      <c r="D10" s="31">
        <v>0.27632923130117709</v>
      </c>
      <c r="E10" s="31">
        <v>0.25856916857092632</v>
      </c>
      <c r="F10" s="32">
        <v>0.24607457892419821</v>
      </c>
      <c r="G10" s="32">
        <v>0.24853432408480469</v>
      </c>
      <c r="H10" s="32">
        <v>0.248163514557178</v>
      </c>
      <c r="I10" s="32">
        <v>0.25037163264566192</v>
      </c>
      <c r="J10" s="32">
        <v>0.25740023453324329</v>
      </c>
    </row>
    <row r="11" spans="2:10" ht="15" customHeight="1" x14ac:dyDescent="0.3">
      <c r="B11" s="26" t="s">
        <v>127</v>
      </c>
      <c r="C11" s="27">
        <v>1642</v>
      </c>
      <c r="D11" s="27">
        <v>10569</v>
      </c>
      <c r="E11" s="27">
        <v>9589</v>
      </c>
      <c r="F11" s="30">
        <v>8945</v>
      </c>
      <c r="G11" s="30">
        <v>8365</v>
      </c>
      <c r="H11" s="30">
        <v>7530</v>
      </c>
      <c r="I11" s="30">
        <v>7450</v>
      </c>
      <c r="J11" s="30">
        <v>8044</v>
      </c>
    </row>
    <row r="12" spans="2:10" ht="15" customHeight="1" x14ac:dyDescent="0.3">
      <c r="B12" s="24" t="s">
        <v>128</v>
      </c>
      <c r="C12" s="25">
        <v>2118</v>
      </c>
      <c r="D12" s="25">
        <v>8031</v>
      </c>
      <c r="E12" s="25">
        <v>7771</v>
      </c>
      <c r="F12" s="29">
        <v>6199</v>
      </c>
      <c r="G12" s="29">
        <v>5722</v>
      </c>
      <c r="H12" s="29">
        <v>5010</v>
      </c>
      <c r="I12" s="29">
        <v>4908</v>
      </c>
      <c r="J12" s="29">
        <v>5394</v>
      </c>
    </row>
    <row r="13" spans="2:10" ht="15" customHeight="1" x14ac:dyDescent="0.3">
      <c r="B13" s="5" t="s">
        <v>129</v>
      </c>
      <c r="C13" s="33">
        <v>3.55649589441338E-2</v>
      </c>
      <c r="D13" s="33">
        <v>0.1262200009429959</v>
      </c>
      <c r="E13" s="33">
        <v>0.1241790376963518</v>
      </c>
      <c r="F13" s="34">
        <v>0.1010744973993576</v>
      </c>
      <c r="G13" s="34">
        <v>9.7518576590087946E-2</v>
      </c>
      <c r="H13" s="34">
        <v>8.9983296513820782E-2</v>
      </c>
      <c r="I13" s="34">
        <v>8.8974293897973247E-2</v>
      </c>
      <c r="J13" s="34">
        <v>9.5838811698233897E-2</v>
      </c>
    </row>
    <row r="14" spans="2:10" ht="15" customHeight="1" x14ac:dyDescent="0.3">
      <c r="B14" s="24" t="s">
        <v>130</v>
      </c>
      <c r="C14" s="25">
        <v>10501</v>
      </c>
      <c r="D14" s="25">
        <v>17716</v>
      </c>
      <c r="E14" s="25">
        <v>18406</v>
      </c>
      <c r="F14" s="29">
        <v>16709</v>
      </c>
      <c r="G14" s="29">
        <v>16138</v>
      </c>
      <c r="H14" s="29">
        <v>14442</v>
      </c>
      <c r="I14" s="29">
        <v>13673</v>
      </c>
      <c r="J14" s="29">
        <v>14015</v>
      </c>
    </row>
    <row r="15" spans="2:10" ht="15" customHeight="1" x14ac:dyDescent="0.3">
      <c r="B15" s="26" t="s">
        <v>131</v>
      </c>
      <c r="C15" s="27">
        <v>10679</v>
      </c>
      <c r="D15" s="27">
        <v>10822</v>
      </c>
      <c r="E15" s="27">
        <v>10437</v>
      </c>
      <c r="F15" s="30">
        <v>10549</v>
      </c>
      <c r="G15" s="30">
        <v>9975</v>
      </c>
      <c r="H15" s="30">
        <v>9465</v>
      </c>
      <c r="I15" s="30">
        <v>9378</v>
      </c>
      <c r="J15" s="30">
        <v>9512</v>
      </c>
    </row>
    <row r="17" spans="2:10" x14ac:dyDescent="0.3">
      <c r="B17" s="115" t="s">
        <v>132</v>
      </c>
      <c r="C17" s="102"/>
      <c r="D17" s="102"/>
      <c r="E17" s="102"/>
      <c r="F17" s="102"/>
      <c r="G17" s="102"/>
      <c r="H17" s="102"/>
      <c r="I17" s="102"/>
      <c r="J17" s="103"/>
    </row>
    <row r="18" spans="2:10" ht="15" customHeight="1" x14ac:dyDescent="0.3">
      <c r="B18" s="24" t="s">
        <v>133</v>
      </c>
      <c r="C18" s="25">
        <v>226501</v>
      </c>
      <c r="D18" s="25">
        <v>213396</v>
      </c>
      <c r="E18" s="25">
        <v>208160</v>
      </c>
      <c r="F18" s="29">
        <v>204469</v>
      </c>
      <c r="G18" s="29">
        <v>200133</v>
      </c>
      <c r="H18" s="29">
        <v>195341</v>
      </c>
      <c r="I18" s="29">
        <v>193228</v>
      </c>
      <c r="J18" s="29">
        <v>191221</v>
      </c>
    </row>
    <row r="19" spans="2:10" ht="15" customHeight="1" x14ac:dyDescent="0.3">
      <c r="B19" s="26" t="s">
        <v>134</v>
      </c>
      <c r="C19" s="27">
        <v>89014</v>
      </c>
      <c r="D19" s="27">
        <v>88203</v>
      </c>
      <c r="E19" s="27">
        <v>86476</v>
      </c>
      <c r="F19" s="30">
        <v>83188</v>
      </c>
      <c r="G19" s="30">
        <v>79281</v>
      </c>
      <c r="H19" s="30">
        <v>74775</v>
      </c>
      <c r="I19" s="30">
        <v>70168</v>
      </c>
      <c r="J19" s="30">
        <v>66047</v>
      </c>
    </row>
    <row r="20" spans="2:10" ht="15" customHeight="1" x14ac:dyDescent="0.3">
      <c r="B20" s="24" t="s">
        <v>135</v>
      </c>
      <c r="C20" s="25">
        <v>61358</v>
      </c>
      <c r="D20" s="25">
        <v>57405</v>
      </c>
      <c r="E20" s="25">
        <v>61641</v>
      </c>
      <c r="F20" s="29">
        <v>61641</v>
      </c>
      <c r="G20" s="29">
        <v>61641</v>
      </c>
      <c r="H20" s="29">
        <v>61641</v>
      </c>
      <c r="I20" s="29">
        <v>63641</v>
      </c>
      <c r="J20" s="29">
        <v>65641</v>
      </c>
    </row>
    <row r="21" spans="2:10" ht="15" customHeight="1" x14ac:dyDescent="0.3">
      <c r="B21" s="26" t="s">
        <v>136</v>
      </c>
      <c r="C21" s="27">
        <v>58505</v>
      </c>
      <c r="D21" s="27">
        <v>56362</v>
      </c>
      <c r="E21" s="27">
        <v>60498</v>
      </c>
      <c r="F21" s="30">
        <v>60173</v>
      </c>
      <c r="G21" s="30">
        <v>60027</v>
      </c>
      <c r="H21" s="30">
        <v>60113</v>
      </c>
      <c r="I21" s="30">
        <v>60408</v>
      </c>
      <c r="J21" s="30">
        <v>61082</v>
      </c>
    </row>
    <row r="23" spans="2:10" x14ac:dyDescent="0.3">
      <c r="B23" s="115" t="s">
        <v>137</v>
      </c>
      <c r="C23" s="102"/>
      <c r="D23" s="102"/>
      <c r="E23" s="102"/>
      <c r="F23" s="102"/>
      <c r="G23" s="102"/>
      <c r="H23" s="102"/>
      <c r="I23" s="102"/>
      <c r="J23" s="103"/>
    </row>
    <row r="24" spans="2:10" ht="15" customHeight="1" x14ac:dyDescent="0.3">
      <c r="B24" s="3" t="s">
        <v>138</v>
      </c>
      <c r="C24" s="25">
        <v>8700</v>
      </c>
      <c r="D24" s="25">
        <v>12744</v>
      </c>
      <c r="E24" s="25">
        <v>11704</v>
      </c>
      <c r="F24" s="29">
        <v>12111</v>
      </c>
      <c r="G24" s="29">
        <v>11775</v>
      </c>
      <c r="H24" s="29">
        <v>11083</v>
      </c>
      <c r="I24" s="29">
        <v>10920</v>
      </c>
      <c r="J24" s="29">
        <v>11282</v>
      </c>
    </row>
    <row r="25" spans="2:10" ht="15" customHeight="1" x14ac:dyDescent="0.3">
      <c r="B25" s="5" t="s">
        <v>139</v>
      </c>
      <c r="C25" s="27">
        <v>-3907</v>
      </c>
      <c r="D25" s="27">
        <v>-2909</v>
      </c>
      <c r="E25" s="27">
        <v>-2629</v>
      </c>
      <c r="F25" s="30">
        <v>-2000</v>
      </c>
      <c r="G25" s="30">
        <v>-2000</v>
      </c>
      <c r="H25" s="30">
        <v>-2000</v>
      </c>
      <c r="I25" s="30">
        <v>-2200</v>
      </c>
      <c r="J25" s="30">
        <v>-2440</v>
      </c>
    </row>
    <row r="26" spans="2:10" ht="15" customHeight="1" x14ac:dyDescent="0.3">
      <c r="B26" s="24" t="s">
        <v>140</v>
      </c>
      <c r="C26" s="25">
        <v>2383</v>
      </c>
      <c r="D26" s="25">
        <v>9089</v>
      </c>
      <c r="E26" s="25">
        <v>6396</v>
      </c>
      <c r="F26" s="29">
        <v>10152</v>
      </c>
      <c r="G26" s="29">
        <v>9816</v>
      </c>
      <c r="H26" s="29">
        <v>9124</v>
      </c>
      <c r="I26" s="29">
        <v>8761</v>
      </c>
      <c r="J26" s="29">
        <v>8883</v>
      </c>
    </row>
    <row r="27" spans="2:10" ht="15" customHeight="1" x14ac:dyDescent="0.3">
      <c r="B27" s="5" t="s">
        <v>141</v>
      </c>
      <c r="C27" s="27">
        <v>-9248</v>
      </c>
      <c r="D27" s="27">
        <v>-9512</v>
      </c>
      <c r="E27" s="27">
        <v>-9771</v>
      </c>
      <c r="F27" s="30">
        <v>-9826</v>
      </c>
      <c r="G27" s="30">
        <v>-9670</v>
      </c>
      <c r="H27" s="30">
        <v>-9556</v>
      </c>
      <c r="I27" s="30">
        <v>-9556</v>
      </c>
      <c r="J27" s="30">
        <v>-9556</v>
      </c>
    </row>
    <row r="29" spans="2:10" ht="30" customHeight="1" x14ac:dyDescent="0.3">
      <c r="B29" s="131" t="s">
        <v>142</v>
      </c>
      <c r="C29" s="132"/>
      <c r="D29" s="132"/>
      <c r="E29" s="132"/>
      <c r="F29" s="132"/>
      <c r="G29" s="132"/>
      <c r="H29" s="132"/>
      <c r="I29" s="132"/>
      <c r="J29" s="133"/>
    </row>
  </sheetData>
  <mergeCells count="6">
    <mergeCell ref="B29:J29"/>
    <mergeCell ref="B1:J1"/>
    <mergeCell ref="B2:J2"/>
    <mergeCell ref="B5:J5"/>
    <mergeCell ref="B17:J17"/>
    <mergeCell ref="B23:J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32"/>
  <sheetViews>
    <sheetView showGridLines="0" workbookViewId="0">
      <selection activeCell="C9" sqref="C9"/>
    </sheetView>
  </sheetViews>
  <sheetFormatPr defaultRowHeight="14.4" x14ac:dyDescent="0.3"/>
  <cols>
    <col min="1" max="1" width="2" customWidth="1"/>
    <col min="2" max="2" width="38" customWidth="1"/>
    <col min="3" max="5" width="18" customWidth="1"/>
    <col min="6" max="6" width="22" customWidth="1"/>
  </cols>
  <sheetData>
    <row r="1" spans="2:6" ht="28.05" customHeight="1" x14ac:dyDescent="0.3">
      <c r="B1" s="112" t="s">
        <v>143</v>
      </c>
      <c r="C1" s="113"/>
      <c r="D1" s="113"/>
      <c r="E1" s="113"/>
      <c r="F1" s="113"/>
    </row>
    <row r="2" spans="2:6" ht="30" customHeight="1" x14ac:dyDescent="0.3">
      <c r="B2" s="141" t="s">
        <v>144</v>
      </c>
      <c r="C2" s="113"/>
      <c r="D2" s="113"/>
      <c r="E2" s="113"/>
      <c r="F2" s="113"/>
    </row>
    <row r="4" spans="2:6" x14ac:dyDescent="0.3">
      <c r="B4" s="115" t="s">
        <v>145</v>
      </c>
      <c r="C4" s="102"/>
      <c r="D4" s="102"/>
      <c r="E4" s="102"/>
      <c r="F4" s="103"/>
    </row>
    <row r="5" spans="2:6" ht="15" customHeight="1" x14ac:dyDescent="0.3">
      <c r="B5" s="3" t="s">
        <v>146</v>
      </c>
      <c r="C5" s="8">
        <v>30</v>
      </c>
      <c r="D5" s="136" t="s">
        <v>147</v>
      </c>
      <c r="E5" s="102"/>
      <c r="F5" s="103"/>
    </row>
    <row r="6" spans="2:6" ht="15" customHeight="1" x14ac:dyDescent="0.3">
      <c r="B6" s="5" t="s">
        <v>148</v>
      </c>
      <c r="C6" s="21">
        <v>0.22</v>
      </c>
      <c r="D6" s="137" t="s">
        <v>149</v>
      </c>
      <c r="E6" s="102"/>
      <c r="F6" s="103"/>
    </row>
    <row r="7" spans="2:6" ht="15" customHeight="1" x14ac:dyDescent="0.3">
      <c r="B7" s="3" t="s">
        <v>150</v>
      </c>
      <c r="C7" s="11">
        <f>C5*(1+C6)^6</f>
        <v>98.919118773119976</v>
      </c>
      <c r="D7" s="136"/>
      <c r="E7" s="102"/>
      <c r="F7" s="103"/>
    </row>
    <row r="8" spans="2:6" ht="15" customHeight="1" x14ac:dyDescent="0.3">
      <c r="B8" s="5" t="s">
        <v>151</v>
      </c>
      <c r="C8" s="21">
        <v>0.06</v>
      </c>
      <c r="D8" s="137" t="s">
        <v>152</v>
      </c>
      <c r="E8" s="102"/>
      <c r="F8" s="103"/>
    </row>
    <row r="9" spans="2:6" ht="15" customHeight="1" x14ac:dyDescent="0.3">
      <c r="B9" s="3" t="s">
        <v>153</v>
      </c>
      <c r="C9" s="11">
        <f>C7*C8</f>
        <v>5.9351471263871982</v>
      </c>
      <c r="D9" s="136"/>
      <c r="E9" s="102"/>
      <c r="F9" s="103"/>
    </row>
    <row r="10" spans="2:6" ht="15" customHeight="1" x14ac:dyDescent="0.3">
      <c r="B10" s="5" t="s">
        <v>154</v>
      </c>
      <c r="C10" s="21">
        <v>0.35</v>
      </c>
      <c r="D10" s="137" t="s">
        <v>155</v>
      </c>
      <c r="E10" s="102"/>
      <c r="F10" s="103"/>
    </row>
    <row r="11" spans="2:6" ht="15" customHeight="1" x14ac:dyDescent="0.3">
      <c r="B11" s="3" t="s">
        <v>156</v>
      </c>
      <c r="C11" s="11">
        <f>C9*C10</f>
        <v>2.0773014942355195</v>
      </c>
      <c r="D11" s="140" t="s">
        <v>304</v>
      </c>
      <c r="E11" s="102"/>
      <c r="F11" s="103"/>
    </row>
    <row r="12" spans="2:6" ht="15" customHeight="1" x14ac:dyDescent="0.3">
      <c r="B12" s="5" t="s">
        <v>157</v>
      </c>
      <c r="C12" s="8">
        <v>22</v>
      </c>
      <c r="D12" s="137" t="s">
        <v>158</v>
      </c>
      <c r="E12" s="102"/>
      <c r="F12" s="103"/>
    </row>
    <row r="13" spans="2:6" ht="15" customHeight="1" x14ac:dyDescent="0.3">
      <c r="B13" s="3" t="s">
        <v>159</v>
      </c>
      <c r="C13" s="11">
        <f>C11*C12</f>
        <v>45.700632873181426</v>
      </c>
      <c r="D13" s="140" t="s">
        <v>305</v>
      </c>
      <c r="E13" s="102"/>
      <c r="F13" s="103"/>
    </row>
    <row r="14" spans="2:6" ht="6" customHeight="1" x14ac:dyDescent="0.3"/>
    <row r="15" spans="2:6" x14ac:dyDescent="0.3">
      <c r="B15" s="115" t="s">
        <v>160</v>
      </c>
      <c r="C15" s="102"/>
      <c r="D15" s="102"/>
      <c r="E15" s="102"/>
      <c r="F15" s="103"/>
    </row>
    <row r="16" spans="2:6" ht="16.05" customHeight="1" x14ac:dyDescent="0.3">
      <c r="B16" s="1" t="s">
        <v>161</v>
      </c>
      <c r="C16" s="1" t="s">
        <v>162</v>
      </c>
      <c r="D16" s="1" t="s">
        <v>163</v>
      </c>
      <c r="E16" s="1" t="s">
        <v>164</v>
      </c>
    </row>
    <row r="17" spans="2:6" ht="15" customHeight="1" x14ac:dyDescent="0.3">
      <c r="B17" s="3" t="s">
        <v>165</v>
      </c>
      <c r="C17" s="35">
        <v>0.63</v>
      </c>
      <c r="D17" s="36">
        <f>C17</f>
        <v>0.63</v>
      </c>
      <c r="E17" s="138" t="s">
        <v>166</v>
      </c>
      <c r="F17" s="103"/>
    </row>
    <row r="18" spans="2:6" ht="15" customHeight="1" x14ac:dyDescent="0.3">
      <c r="B18" s="5" t="s">
        <v>167</v>
      </c>
      <c r="C18" s="37">
        <v>0.52</v>
      </c>
      <c r="D18" s="22">
        <f>C17*C18</f>
        <v>0.3276</v>
      </c>
      <c r="E18" s="139" t="s">
        <v>168</v>
      </c>
      <c r="F18" s="103"/>
    </row>
    <row r="19" spans="2:6" ht="15" customHeight="1" x14ac:dyDescent="0.3">
      <c r="B19" s="3" t="s">
        <v>169</v>
      </c>
      <c r="C19" s="35">
        <v>0.57999999999999996</v>
      </c>
      <c r="D19" s="36">
        <f>D18*C19</f>
        <v>0.19000799999999998</v>
      </c>
      <c r="E19" s="138" t="s">
        <v>170</v>
      </c>
      <c r="F19" s="103"/>
    </row>
    <row r="20" spans="2:6" ht="15" customHeight="1" x14ac:dyDescent="0.3">
      <c r="B20" s="5" t="s">
        <v>171</v>
      </c>
      <c r="C20" s="37">
        <v>0.65</v>
      </c>
      <c r="D20" s="22">
        <f>D19*C20</f>
        <v>0.1235052</v>
      </c>
      <c r="E20" s="139" t="s">
        <v>172</v>
      </c>
      <c r="F20" s="103"/>
    </row>
    <row r="21" spans="2:6" ht="15" customHeight="1" x14ac:dyDescent="0.3">
      <c r="B21" s="3" t="s">
        <v>173</v>
      </c>
      <c r="C21" s="35">
        <v>0.9</v>
      </c>
      <c r="D21" s="36">
        <f>D20*C21</f>
        <v>0.11115467999999999</v>
      </c>
      <c r="E21" s="138" t="s">
        <v>174</v>
      </c>
      <c r="F21" s="103"/>
    </row>
    <row r="22" spans="2:6" ht="6" customHeight="1" x14ac:dyDescent="0.3"/>
    <row r="23" spans="2:6" ht="18" customHeight="1" x14ac:dyDescent="0.3">
      <c r="B23" s="115" t="s">
        <v>175</v>
      </c>
      <c r="C23" s="102"/>
      <c r="D23" s="102"/>
      <c r="E23" s="102"/>
      <c r="F23" s="103"/>
    </row>
    <row r="24" spans="2:6" ht="16.05" customHeight="1" x14ac:dyDescent="0.3">
      <c r="B24" s="3" t="s">
        <v>176</v>
      </c>
      <c r="C24" s="12" t="s">
        <v>177</v>
      </c>
    </row>
    <row r="25" spans="2:6" ht="16.05" customHeight="1" x14ac:dyDescent="0.3">
      <c r="B25" s="5" t="s">
        <v>178</v>
      </c>
      <c r="C25" s="100">
        <f>D20*C21</f>
        <v>0.11115467999999999</v>
      </c>
      <c r="D25" s="137"/>
      <c r="E25" s="102"/>
      <c r="F25" s="103"/>
    </row>
    <row r="26" spans="2:6" ht="16.05" customHeight="1" x14ac:dyDescent="0.3">
      <c r="B26" s="3" t="s">
        <v>179</v>
      </c>
      <c r="C26" s="35">
        <v>0.12</v>
      </c>
      <c r="D26" s="136" t="s">
        <v>180</v>
      </c>
      <c r="E26" s="102"/>
      <c r="F26" s="103"/>
    </row>
    <row r="27" spans="2:6" ht="16.05" customHeight="1" x14ac:dyDescent="0.3">
      <c r="B27" s="5" t="s">
        <v>181</v>
      </c>
      <c r="C27" s="38">
        <v>6</v>
      </c>
      <c r="D27" s="137" t="s">
        <v>182</v>
      </c>
      <c r="E27" s="102"/>
      <c r="F27" s="103"/>
    </row>
    <row r="28" spans="2:6" ht="16.05" customHeight="1" x14ac:dyDescent="0.3">
      <c r="B28" s="3" t="s">
        <v>183</v>
      </c>
      <c r="C28" s="11">
        <f>1/(1+C26)^C27</f>
        <v>0.50663112117732068</v>
      </c>
      <c r="D28" s="136"/>
      <c r="E28" s="102"/>
      <c r="F28" s="103"/>
    </row>
    <row r="29" spans="2:6" ht="16.05" customHeight="1" x14ac:dyDescent="0.3">
      <c r="B29" s="5" t="s">
        <v>159</v>
      </c>
      <c r="C29" s="14">
        <f>C13</f>
        <v>45.700632873181426</v>
      </c>
      <c r="D29" s="137" t="s">
        <v>184</v>
      </c>
      <c r="E29" s="102"/>
      <c r="F29" s="103"/>
    </row>
    <row r="30" spans="2:6" ht="16.05" customHeight="1" x14ac:dyDescent="0.3">
      <c r="B30" s="3" t="s">
        <v>185</v>
      </c>
      <c r="C30" s="11">
        <f>C29*C25</f>
        <v>5.0798392228159619</v>
      </c>
      <c r="D30" s="136"/>
      <c r="E30" s="102"/>
      <c r="F30" s="103"/>
    </row>
    <row r="31" spans="2:6" ht="16.05" customHeight="1" x14ac:dyDescent="0.3">
      <c r="B31" s="26" t="s">
        <v>186</v>
      </c>
      <c r="C31" s="39">
        <f>C30*C28</f>
        <v>2.57360464085578</v>
      </c>
      <c r="D31" s="134" t="s">
        <v>306</v>
      </c>
      <c r="E31" s="102"/>
      <c r="F31" s="103"/>
    </row>
    <row r="32" spans="2:6" ht="16.05" customHeight="1" x14ac:dyDescent="0.3">
      <c r="B32" s="40" t="s">
        <v>187</v>
      </c>
      <c r="C32" s="41">
        <f>C31*1000</f>
        <v>2573.60464085578</v>
      </c>
      <c r="D32" s="135" t="s">
        <v>188</v>
      </c>
      <c r="E32" s="102"/>
      <c r="F32" s="103"/>
    </row>
  </sheetData>
  <mergeCells count="27">
    <mergeCell ref="B1:F1"/>
    <mergeCell ref="B2:F2"/>
    <mergeCell ref="B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B15:F15"/>
    <mergeCell ref="E17:F17"/>
    <mergeCell ref="E18:F18"/>
    <mergeCell ref="E19:F19"/>
    <mergeCell ref="E20:F20"/>
    <mergeCell ref="E21:F21"/>
    <mergeCell ref="B23:F23"/>
    <mergeCell ref="D25:F25"/>
    <mergeCell ref="D31:F31"/>
    <mergeCell ref="D32:F32"/>
    <mergeCell ref="D26:F26"/>
    <mergeCell ref="D27:F27"/>
    <mergeCell ref="D28:F28"/>
    <mergeCell ref="D29:F29"/>
    <mergeCell ref="D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54"/>
  <sheetViews>
    <sheetView showGridLines="0" topLeftCell="A19" workbookViewId="0">
      <selection activeCell="L36" sqref="L36"/>
    </sheetView>
  </sheetViews>
  <sheetFormatPr defaultRowHeight="14.4" x14ac:dyDescent="0.3"/>
  <cols>
    <col min="1" max="1" width="2" customWidth="1"/>
    <col min="2" max="2" width="30" customWidth="1"/>
    <col min="3" max="3" width="22.33203125" customWidth="1"/>
    <col min="4" max="4" width="5.5546875" bestFit="1" customWidth="1"/>
    <col min="5" max="5" width="16" customWidth="1"/>
    <col min="6" max="6" width="8.77734375" bestFit="1" customWidth="1"/>
    <col min="7" max="7" width="16" customWidth="1"/>
    <col min="8" max="8" width="6.5546875" bestFit="1" customWidth="1"/>
    <col min="9" max="9" width="16" customWidth="1"/>
    <col min="10" max="10" width="10.44140625" bestFit="1" customWidth="1"/>
    <col min="11" max="11" width="24" customWidth="1"/>
    <col min="12" max="12" width="18" customWidth="1"/>
  </cols>
  <sheetData>
    <row r="1" spans="2:12" ht="28.05" customHeight="1" x14ac:dyDescent="0.3">
      <c r="B1" s="112" t="s">
        <v>189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2:12" ht="28.05" customHeight="1" x14ac:dyDescent="0.3">
      <c r="B2" s="114" t="s">
        <v>190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4" spans="2:12" ht="18" customHeight="1" x14ac:dyDescent="0.3">
      <c r="B4" s="115" t="s">
        <v>191</v>
      </c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2:12" ht="16.05" customHeight="1" x14ac:dyDescent="0.3">
      <c r="B5" s="2" t="s">
        <v>192</v>
      </c>
      <c r="C5" s="29">
        <f>Assumptions!C22</f>
        <v>2573.60464085578</v>
      </c>
      <c r="K5" s="2" t="s">
        <v>193</v>
      </c>
      <c r="L5" s="29">
        <f>Assumptions!C12</f>
        <v>512.43999999999994</v>
      </c>
    </row>
    <row r="6" spans="2:12" ht="16.05" customHeight="1" x14ac:dyDescent="0.3">
      <c r="B6" s="4" t="s">
        <v>194</v>
      </c>
      <c r="C6" s="42">
        <f>Assumptions!C21</f>
        <v>0.55000000000000004</v>
      </c>
      <c r="K6" s="4" t="s">
        <v>195</v>
      </c>
      <c r="L6" s="29">
        <f>Assumptions!C13</f>
        <v>712.96</v>
      </c>
    </row>
    <row r="7" spans="2:12" ht="16.05" customHeight="1" x14ac:dyDescent="0.3">
      <c r="B7" s="2" t="s">
        <v>196</v>
      </c>
      <c r="C7" s="43">
        <f>Assumptions!C20</f>
        <v>4.4999999999999998E-2</v>
      </c>
      <c r="K7" s="2" t="s">
        <v>197</v>
      </c>
      <c r="L7" s="29">
        <f>Assumptions!C14</f>
        <v>1075.01</v>
      </c>
    </row>
    <row r="8" spans="2:12" ht="16.05" customHeight="1" x14ac:dyDescent="0.3">
      <c r="B8" s="4" t="s">
        <v>198</v>
      </c>
      <c r="C8" s="44">
        <f>Assumptions!C26</f>
        <v>0.5</v>
      </c>
      <c r="K8" s="4" t="s">
        <v>199</v>
      </c>
      <c r="L8" s="30">
        <f>Assumptions!C23</f>
        <v>0.5</v>
      </c>
    </row>
    <row r="9" spans="2:12" ht="16.05" customHeight="1" x14ac:dyDescent="0.3">
      <c r="B9" s="2" t="s">
        <v>200</v>
      </c>
      <c r="C9" s="45">
        <f>Assumptions!C27</f>
        <v>2.5</v>
      </c>
      <c r="K9" s="2" t="s">
        <v>201</v>
      </c>
      <c r="L9" s="29">
        <f>Assumptions!C24</f>
        <v>3</v>
      </c>
    </row>
    <row r="10" spans="2:12" ht="16.05" customHeight="1" x14ac:dyDescent="0.3">
      <c r="B10" s="4" t="s">
        <v>202</v>
      </c>
      <c r="C10" s="44">
        <f>Assumptions!C28</f>
        <v>1</v>
      </c>
      <c r="K10" s="4" t="s">
        <v>203</v>
      </c>
      <c r="L10" s="30">
        <f>Assumptions!C25</f>
        <v>4</v>
      </c>
    </row>
    <row r="11" spans="2:12" ht="16.05" customHeight="1" x14ac:dyDescent="0.3">
      <c r="B11" s="2" t="s">
        <v>204</v>
      </c>
      <c r="C11" s="45" t="str">
        <f>Assumptions!C29&amp;" / "&amp;TEXT(Assumptions!C30,"0.0000")&amp;" / "&amp;TEXT(Assumptions!C31,"0.0000")</f>
        <v>1.47536988766556 / 0.6778 / 0.4325</v>
      </c>
      <c r="K11" s="2" t="s">
        <v>205</v>
      </c>
      <c r="L11" s="29" t="str">
        <f>TEXT(Assumptions!C32,"0.0000")&amp;" / "&amp;TEXT(Assumptions!C33,"0.0000")&amp;" / "&amp;TEXT(Assumptions!C34,"0.0000")</f>
        <v>2.3860 / 0.4191 / 0.3559</v>
      </c>
    </row>
    <row r="12" spans="2:12" ht="16.05" customHeight="1" x14ac:dyDescent="0.3">
      <c r="B12" s="4" t="s">
        <v>206</v>
      </c>
      <c r="C12" s="44" t="str">
        <f>TEXT(Assumptions!C35,"0.0000")&amp;" / "&amp;TEXT(Assumptions!C36,"0.0000")&amp;" / "&amp;TEXT(Assumptions!C37,"0.0000")</f>
        <v>1.7333 / 0.5769 / 0.4057</v>
      </c>
    </row>
    <row r="13" spans="2:12" ht="6" customHeight="1" x14ac:dyDescent="0.3"/>
    <row r="14" spans="2:12" ht="18" customHeight="1" x14ac:dyDescent="0.3">
      <c r="B14" s="115" t="s">
        <v>207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2:12" ht="19.95" customHeight="1" x14ac:dyDescent="0.3">
      <c r="B15" s="46"/>
      <c r="C15" s="47" t="s">
        <v>208</v>
      </c>
      <c r="E15" s="47" t="s">
        <v>209</v>
      </c>
      <c r="G15" s="47" t="s">
        <v>210</v>
      </c>
      <c r="I15" s="47" t="s">
        <v>211</v>
      </c>
    </row>
    <row r="16" spans="2:12" ht="16.05" customHeight="1" x14ac:dyDescent="0.3">
      <c r="H16" s="48" t="s">
        <v>212</v>
      </c>
      <c r="I16" s="49">
        <f>G17*Assumptions!C35</f>
        <v>15702.855682110434</v>
      </c>
    </row>
    <row r="17" spans="3:9" ht="16.05" customHeight="1" x14ac:dyDescent="0.3">
      <c r="F17" s="48" t="s">
        <v>212</v>
      </c>
      <c r="G17" s="50">
        <f>E19*Assumptions!C32</f>
        <v>9059.7596082257623</v>
      </c>
      <c r="H17" s="51" t="s">
        <v>213</v>
      </c>
    </row>
    <row r="18" spans="3:9" ht="16.05" customHeight="1" x14ac:dyDescent="0.3">
      <c r="H18" s="48" t="s">
        <v>214</v>
      </c>
      <c r="I18" s="49">
        <f>G17*Assumptions!C36</f>
        <v>5227.0265880586458</v>
      </c>
    </row>
    <row r="19" spans="3:9" ht="16.05" customHeight="1" x14ac:dyDescent="0.3">
      <c r="D19" s="48" t="s">
        <v>212</v>
      </c>
      <c r="E19" s="50">
        <f>C23*Assumptions!C29</f>
        <v>3797.018789874955</v>
      </c>
      <c r="F19" s="51" t="s">
        <v>215</v>
      </c>
    </row>
    <row r="20" spans="3:9" ht="16.05" customHeight="1" x14ac:dyDescent="0.3">
      <c r="H20" s="48" t="s">
        <v>212</v>
      </c>
      <c r="I20" s="49">
        <f>G21*Assumptions!C35</f>
        <v>2758.2319408132516</v>
      </c>
    </row>
    <row r="21" spans="3:9" ht="16.05" customHeight="1" x14ac:dyDescent="0.3">
      <c r="F21" s="48" t="s">
        <v>214</v>
      </c>
      <c r="G21" s="50">
        <f>E19*Assumptions!C33</f>
        <v>1591.3613952376072</v>
      </c>
      <c r="H21" s="51" t="s">
        <v>216</v>
      </c>
    </row>
    <row r="22" spans="3:9" ht="16.05" customHeight="1" x14ac:dyDescent="0.3">
      <c r="H22" s="48" t="s">
        <v>214</v>
      </c>
      <c r="I22" s="49">
        <f>G21*Assumptions!C36</f>
        <v>918.13565522916417</v>
      </c>
    </row>
    <row r="23" spans="3:9" ht="16.05" customHeight="1" x14ac:dyDescent="0.3">
      <c r="C23" s="52">
        <f>Assumptions!C22</f>
        <v>2573.60464085578</v>
      </c>
    </row>
    <row r="24" spans="3:9" ht="16.05" customHeight="1" x14ac:dyDescent="0.3">
      <c r="H24" s="48" t="s">
        <v>212</v>
      </c>
      <c r="I24" s="49">
        <f>G25*Assumptions!C35</f>
        <v>7214.0111428100627</v>
      </c>
    </row>
    <row r="25" spans="3:9" ht="16.05" customHeight="1" x14ac:dyDescent="0.3">
      <c r="F25" s="48" t="s">
        <v>212</v>
      </c>
      <c r="G25" s="50">
        <f>E27*Assumptions!C32</f>
        <v>4162.1223609269837</v>
      </c>
      <c r="H25" s="51" t="s">
        <v>217</v>
      </c>
    </row>
    <row r="26" spans="3:9" ht="16.05" customHeight="1" x14ac:dyDescent="0.3">
      <c r="H26" s="48" t="s">
        <v>214</v>
      </c>
      <c r="I26" s="49">
        <f>G25*Assumptions!C36</f>
        <v>2401.3357069172066</v>
      </c>
    </row>
    <row r="27" spans="3:9" ht="16.05" customHeight="1" x14ac:dyDescent="0.3">
      <c r="D27" s="48" t="s">
        <v>214</v>
      </c>
      <c r="E27" s="50">
        <f>C23*Assumptions!C30</f>
        <v>1744.3792654111501</v>
      </c>
      <c r="F27" s="51" t="s">
        <v>218</v>
      </c>
    </row>
    <row r="28" spans="3:9" ht="16.05" customHeight="1" x14ac:dyDescent="0.3">
      <c r="H28" s="48" t="s">
        <v>212</v>
      </c>
      <c r="I28" s="49">
        <f>G29*Assumptions!C35</f>
        <v>1267.1526987381174</v>
      </c>
    </row>
    <row r="29" spans="3:9" ht="16.05" customHeight="1" x14ac:dyDescent="0.3">
      <c r="F29" s="48" t="s">
        <v>214</v>
      </c>
      <c r="G29" s="50">
        <f>E27*Assumptions!C33</f>
        <v>731.08350926007881</v>
      </c>
      <c r="H29" s="51" t="s">
        <v>219</v>
      </c>
    </row>
    <row r="30" spans="3:9" ht="16.05" customHeight="1" x14ac:dyDescent="0.3">
      <c r="H30" s="48" t="s">
        <v>214</v>
      </c>
      <c r="I30" s="49">
        <f>G29*Assumptions!C36</f>
        <v>421.79849203990324</v>
      </c>
    </row>
    <row r="31" spans="3:9" ht="16.05" customHeight="1" x14ac:dyDescent="0.3"/>
    <row r="32" spans="3:9" ht="7.95" customHeight="1" x14ac:dyDescent="0.3"/>
    <row r="33" spans="2:12" ht="18" customHeight="1" x14ac:dyDescent="0.3">
      <c r="B33" s="115" t="s">
        <v>220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3"/>
    </row>
    <row r="34" spans="2:12" ht="30" customHeight="1" x14ac:dyDescent="0.3">
      <c r="B34" s="53" t="s">
        <v>221</v>
      </c>
      <c r="C34" s="54" t="s">
        <v>222</v>
      </c>
      <c r="D34" s="54" t="s">
        <v>223</v>
      </c>
      <c r="E34" s="54" t="s">
        <v>224</v>
      </c>
      <c r="F34" s="54" t="s">
        <v>225</v>
      </c>
      <c r="G34" s="54" t="s">
        <v>226</v>
      </c>
      <c r="H34" s="54" t="s">
        <v>227</v>
      </c>
      <c r="I34" s="54" t="s">
        <v>228</v>
      </c>
      <c r="J34" s="54" t="s">
        <v>229</v>
      </c>
      <c r="K34" s="54" t="s">
        <v>230</v>
      </c>
      <c r="L34" s="54" t="s">
        <v>231</v>
      </c>
    </row>
    <row r="35" spans="2:12" ht="16.05" customHeight="1" x14ac:dyDescent="0.3">
      <c r="B35" s="55" t="s">
        <v>232</v>
      </c>
      <c r="C35" s="56" t="s">
        <v>233</v>
      </c>
      <c r="D35" s="57">
        <f>E19</f>
        <v>3797.018789874955</v>
      </c>
      <c r="E35" s="58" t="str">
        <f>IF(E19&gt;Assumptions!C46,"YES","NO")</f>
        <v>YES</v>
      </c>
      <c r="F35" s="57">
        <f>G17</f>
        <v>9059.7596082257623</v>
      </c>
      <c r="G35" s="56" t="str">
        <f>IF(G17&gt;Assumptions!C47,"YES","NO")</f>
        <v>YES</v>
      </c>
      <c r="H35" s="57">
        <f>I16</f>
        <v>15702.855682110434</v>
      </c>
      <c r="I35" s="56" t="str">
        <f>IF(AND(I16&gt;Assumptions!C48,G17&gt;Assumptions!C47),"YES","NO")</f>
        <v>YES</v>
      </c>
      <c r="J35" s="59">
        <f>IF(E19&gt;Assumptions!C46,Assumptions!C12,0)+IF(G17&gt;Assumptions!C47,Assumptions!C13,0)+IF(AND(I16&gt;Assumptions!C48,G17&gt;Assumptions!C47),Assumptions!C14,0)</f>
        <v>2300.41</v>
      </c>
      <c r="K35" s="60">
        <f>Assumptions!C31*Assumptions!C34*Assumptions!C37</f>
        <v>6.2439721152477312E-2</v>
      </c>
      <c r="L35" s="61">
        <f>(IF(E19&gt;Assumptions!C46,Assumptions!C12*EXP(-Assumptions!C20*Assumptions!C23),0)+IF(G17&gt;Assumptions!C47,Assumptions!C13*EXP(-Assumptions!C20*Assumptions!C24),0)+IF(AND(I16&gt;Assumptions!C48,G17&gt;Assumptions!C47),Assumptions!C14*EXP(-Assumptions!C20*Assumptions!C25),0))*Assumptions!C31*Assumptions!C34*Assumptions!C37</f>
        <v>126.24607111865554</v>
      </c>
    </row>
    <row r="36" spans="2:12" ht="16.05" customHeight="1" x14ac:dyDescent="0.3">
      <c r="B36" s="62" t="s">
        <v>234</v>
      </c>
      <c r="C36" s="63" t="s">
        <v>235</v>
      </c>
      <c r="D36" s="64">
        <f>E19</f>
        <v>3797.018789874955</v>
      </c>
      <c r="E36" s="7" t="str">
        <f>IF(E19&gt;Assumptions!C46,"YES","NO")</f>
        <v>YES</v>
      </c>
      <c r="F36" s="64">
        <f>G17</f>
        <v>9059.7596082257623</v>
      </c>
      <c r="G36" s="63" t="str">
        <f>IF(G17&gt;Assumptions!C47,"YES","NO")</f>
        <v>YES</v>
      </c>
      <c r="H36" s="64">
        <f>I18</f>
        <v>5227.0265880586458</v>
      </c>
      <c r="I36" s="63" t="str">
        <f>IF(AND(I18&gt;Assumptions!C48,G17&gt;Assumptions!C47),"YES","NO")</f>
        <v>YES</v>
      </c>
      <c r="J36" s="65">
        <f>IF(E19&gt;Assumptions!C46,Assumptions!C12,0)+IF(G17&gt;Assumptions!C47,Assumptions!C13,0)+IF(AND(I18&gt;Assumptions!C48,G17&gt;Assumptions!C47),Assumptions!C14,0)</f>
        <v>2300.41</v>
      </c>
      <c r="K36" s="66">
        <f>Assumptions!C31*Assumptions!C34*(1-Assumptions!C37)</f>
        <v>9.1477627817083809E-2</v>
      </c>
      <c r="L36" s="67">
        <f>(IF(E19&gt;Assumptions!C46,Assumptions!C12*EXP(-Assumptions!C20*Assumptions!C23),0)+IF(G17&gt;Assumptions!C47,Assumptions!C13*EXP(-Assumptions!C20*Assumptions!C24),0)+IF(AND(I18&gt;Assumptions!C48,G17&gt;Assumptions!C47),Assumptions!C14*EXP(-Assumptions!C20*Assumptions!C25),0))*Assumptions!C31*Assumptions!C34*(1-Assumptions!C37)</f>
        <v>184.95744205775119</v>
      </c>
    </row>
    <row r="37" spans="2:12" ht="16.05" customHeight="1" x14ac:dyDescent="0.3">
      <c r="B37" s="68" t="s">
        <v>236</v>
      </c>
      <c r="C37" s="69" t="s">
        <v>237</v>
      </c>
      <c r="D37" s="70">
        <f>E19</f>
        <v>3797.018789874955</v>
      </c>
      <c r="E37" s="71" t="str">
        <f>IF(E19&gt;Assumptions!C46,"YES","NO")</f>
        <v>YES</v>
      </c>
      <c r="F37" s="70">
        <f>G21</f>
        <v>1591.3613952376072</v>
      </c>
      <c r="G37" s="69" t="str">
        <f>IF(G21&gt;Assumptions!C47,"YES","NO")</f>
        <v>NO</v>
      </c>
      <c r="H37" s="70">
        <f>I20</f>
        <v>2758.2319408132516</v>
      </c>
      <c r="I37" s="69" t="str">
        <f>IF(AND(I20&gt;Assumptions!C48,G21&gt;Assumptions!C47),"YES","NO")</f>
        <v>NO</v>
      </c>
      <c r="J37" s="72">
        <f>IF(E19&gt;Assumptions!C46,Assumptions!C12,0)+IF(G21&gt;Assumptions!C47,Assumptions!C13,0)+IF(AND(I20&gt;Assumptions!C48,G21&gt;Assumptions!C47),Assumptions!C14,0)</f>
        <v>512.43999999999994</v>
      </c>
      <c r="K37" s="73">
        <f>Assumptions!C31*(1-Assumptions!C34)*Assumptions!C37</f>
        <v>0.11301694935378742</v>
      </c>
      <c r="L37" s="74">
        <f>(IF(E19&gt;Assumptions!C46,Assumptions!C12*EXP(-Assumptions!C20*Assumptions!C23),0)+IF(G21&gt;Assumptions!C47,Assumptions!C13*EXP(-Assumptions!C20*Assumptions!C24),0)+IF(AND(I20&gt;Assumptions!C48,G21&gt;Assumptions!C47),Assumptions!C14*EXP(-Assumptions!C20*Assumptions!C25),0))*Assumptions!C31*(1-Assumptions!C34)*Assumptions!C37</f>
        <v>56.625881655198896</v>
      </c>
    </row>
    <row r="38" spans="2:12" ht="16.05" customHeight="1" x14ac:dyDescent="0.3">
      <c r="B38" s="62" t="s">
        <v>238</v>
      </c>
      <c r="C38" s="63" t="s">
        <v>239</v>
      </c>
      <c r="D38" s="64">
        <f>E19</f>
        <v>3797.018789874955</v>
      </c>
      <c r="E38" s="7" t="str">
        <f>IF(E19&gt;Assumptions!C46,"YES","NO")</f>
        <v>YES</v>
      </c>
      <c r="F38" s="64">
        <f>G21</f>
        <v>1591.3613952376072</v>
      </c>
      <c r="G38" s="63" t="str">
        <f>IF(G21&gt;Assumptions!C47,"YES","NO")</f>
        <v>NO</v>
      </c>
      <c r="H38" s="64">
        <f>I22</f>
        <v>918.13565522916417</v>
      </c>
      <c r="I38" s="63" t="str">
        <f>IF(AND(I22&gt;Assumptions!C48,G21&gt;Assumptions!C47),"YES","NO")</f>
        <v>NO</v>
      </c>
      <c r="J38" s="65">
        <f>IF(E19&gt;Assumptions!C46,Assumptions!C12,0)+IF(G21&gt;Assumptions!C47,Assumptions!C13,0)+IF(AND(I22&gt;Assumptions!C48,G21&gt;Assumptions!C47),Assumptions!C14,0)</f>
        <v>512.43999999999994</v>
      </c>
      <c r="K38" s="66">
        <f>Assumptions!C31*(1-Assumptions!C34)*(1-Assumptions!C37)</f>
        <v>0.16557605061626371</v>
      </c>
      <c r="L38" s="67">
        <f>(IF(E19&gt;Assumptions!C46,Assumptions!C12*EXP(-Assumptions!C20*Assumptions!C23),0)+IF(G21&gt;Assumptions!C47,Assumptions!C13*EXP(-Assumptions!C20*Assumptions!C24),0)+IF(AND(I22&gt;Assumptions!C48,G21&gt;Assumptions!C47),Assumptions!C14*EXP(-Assumptions!C20*Assumptions!C25),0))*Assumptions!C31*(1-Assumptions!C34)*(1-Assumptions!C37)</f>
        <v>82.960032992764255</v>
      </c>
    </row>
    <row r="39" spans="2:12" ht="16.05" customHeight="1" x14ac:dyDescent="0.3">
      <c r="B39" s="68" t="s">
        <v>240</v>
      </c>
      <c r="C39" s="69" t="s">
        <v>241</v>
      </c>
      <c r="D39" s="70">
        <f>E27</f>
        <v>1744.3792654111501</v>
      </c>
      <c r="E39" s="71" t="str">
        <f>IF(E27&gt;Assumptions!C46,"YES","NO")</f>
        <v>YES</v>
      </c>
      <c r="F39" s="70">
        <f>G25</f>
        <v>4162.1223609269837</v>
      </c>
      <c r="G39" s="69" t="str">
        <f>IF(G25&gt;Assumptions!C47,"YES","NO")</f>
        <v>YES</v>
      </c>
      <c r="H39" s="70">
        <f>I24</f>
        <v>7214.0111428100627</v>
      </c>
      <c r="I39" s="69" t="str">
        <f>IF(AND(I24&gt;Assumptions!C48,G25&gt;Assumptions!C47),"YES","NO")</f>
        <v>YES</v>
      </c>
      <c r="J39" s="72">
        <f>IF(E27&gt;Assumptions!C46,Assumptions!C12,0)+IF(G25&gt;Assumptions!C47,Assumptions!C13,0)+IF(AND(I24&gt;Assumptions!C48,G25&gt;Assumptions!C47),Assumptions!C14,0)</f>
        <v>2300.41</v>
      </c>
      <c r="K39" s="73">
        <f>(1-Assumptions!C31)*Assumptions!C34*Assumptions!C37</f>
        <v>8.1926121897431411E-2</v>
      </c>
      <c r="L39" s="74">
        <f>(IF(E27&gt;Assumptions!C46,Assumptions!C12*EXP(-Assumptions!C20*Assumptions!C23),0)+IF(G25&gt;Assumptions!C47,Assumptions!C13*EXP(-Assumptions!C20*Assumptions!C24),0)+IF(AND(I24&gt;Assumptions!C48,G25&gt;Assumptions!C47),Assumptions!C14*EXP(-Assumptions!C20*Assumptions!C25),0))*(1-Assumptions!C31)*Assumptions!C34*Assumptions!C37</f>
        <v>165.64537478124876</v>
      </c>
    </row>
    <row r="40" spans="2:12" ht="16.05" customHeight="1" x14ac:dyDescent="0.3">
      <c r="B40" s="62" t="s">
        <v>242</v>
      </c>
      <c r="C40" s="63" t="s">
        <v>243</v>
      </c>
      <c r="D40" s="64">
        <f>E27</f>
        <v>1744.3792654111501</v>
      </c>
      <c r="E40" s="7" t="str">
        <f>IF(E27&gt;Assumptions!C46,"YES","NO")</f>
        <v>YES</v>
      </c>
      <c r="F40" s="64">
        <f>G25</f>
        <v>4162.1223609269837</v>
      </c>
      <c r="G40" s="63" t="str">
        <f>IF(G25&gt;Assumptions!C47,"YES","NO")</f>
        <v>YES</v>
      </c>
      <c r="H40" s="64">
        <f>I26</f>
        <v>2401.3357069172066</v>
      </c>
      <c r="I40" s="63" t="str">
        <f>IF(AND(I26&gt;Assumptions!C48,G25&gt;Assumptions!C47),"YES","NO")</f>
        <v>YES</v>
      </c>
      <c r="J40" s="65">
        <f>IF(E27&gt;Assumptions!C46,Assumptions!C12,0)+IF(G25&gt;Assumptions!C47,Assumptions!C13,0)+IF(AND(I26&gt;Assumptions!C48,G25&gt;Assumptions!C47),Assumptions!C14,0)</f>
        <v>2300.41</v>
      </c>
      <c r="K40" s="66">
        <f>(1-Assumptions!C31)*Assumptions!C34*(1-Assumptions!C37)</f>
        <v>0.12002627732960219</v>
      </c>
      <c r="L40" s="67">
        <f>(IF(E27&gt;Assumptions!C46,Assumptions!C12*EXP(-Assumptions!C20*Assumptions!C23),0)+IF(G25&gt;Assumptions!C47,Assumptions!C13*EXP(-Assumptions!C20*Assumptions!C24),0)+IF(AND(I26&gt;Assumptions!C48,G25&gt;Assumptions!C47),Assumptions!C14*EXP(-Assumptions!C20*Assumptions!C25),0))*(1-Assumptions!C31)*Assumptions!C34*(1-Assumptions!C37)</f>
        <v>242.67959023803616</v>
      </c>
    </row>
    <row r="41" spans="2:12" ht="16.05" customHeight="1" x14ac:dyDescent="0.3">
      <c r="B41" s="68" t="s">
        <v>244</v>
      </c>
      <c r="C41" s="69" t="s">
        <v>245</v>
      </c>
      <c r="D41" s="70">
        <f>E27</f>
        <v>1744.3792654111501</v>
      </c>
      <c r="E41" s="71" t="str">
        <f>IF(E27&gt;Assumptions!C46,"YES","NO")</f>
        <v>YES</v>
      </c>
      <c r="F41" s="70">
        <f>G29</f>
        <v>731.08350926007881</v>
      </c>
      <c r="G41" s="69" t="str">
        <f>IF(G29&gt;Assumptions!C47,"YES","NO")</f>
        <v>NO</v>
      </c>
      <c r="H41" s="70">
        <f>I28</f>
        <v>1267.1526987381174</v>
      </c>
      <c r="I41" s="69" t="str">
        <f>IF(AND(I28&gt;Assumptions!C48,G29&gt;Assumptions!C47),"YES","NO")</f>
        <v>NO</v>
      </c>
      <c r="J41" s="72">
        <f>IF(E27&gt;Assumptions!C46,Assumptions!C12,0)+IF(G29&gt;Assumptions!C47,Assumptions!C13,0)+IF(AND(I28&gt;Assumptions!C48,G29&gt;Assumptions!C47),Assumptions!C14,0)</f>
        <v>512.43999999999994</v>
      </c>
      <c r="K41" s="73">
        <f>(1-Assumptions!C31)*(1-Assumptions!C34)*Assumptions!C37</f>
        <v>0.14828766365922286</v>
      </c>
      <c r="L41" s="74">
        <f>(IF(E27&gt;Assumptions!C46,Assumptions!C12*EXP(-Assumptions!C20*Assumptions!C23),0)+IF(G29&gt;Assumptions!C47,Assumptions!C13*EXP(-Assumptions!C20*Assumptions!C24),0)+IF(AND(I28&gt;Assumptions!C48,G29&gt;Assumptions!C47),Assumptions!C14*EXP(-Assumptions!C20*Assumptions!C25),0))*(1-Assumptions!C31)*(1-Assumptions!C34)*Assumptions!C37</f>
        <v>74.297879577402469</v>
      </c>
    </row>
    <row r="42" spans="2:12" ht="16.05" customHeight="1" x14ac:dyDescent="0.3">
      <c r="B42" s="75" t="s">
        <v>246</v>
      </c>
      <c r="C42" s="76" t="s">
        <v>247</v>
      </c>
      <c r="D42" s="77">
        <f>E27</f>
        <v>1744.3792654111501</v>
      </c>
      <c r="E42" s="78" t="str">
        <f>IF(E27&gt;Assumptions!C46,"YES","NO")</f>
        <v>YES</v>
      </c>
      <c r="F42" s="77">
        <f>G29</f>
        <v>731.08350926007881</v>
      </c>
      <c r="G42" s="76" t="str">
        <f>IF(G29&gt;Assumptions!C47,"YES","NO")</f>
        <v>NO</v>
      </c>
      <c r="H42" s="77">
        <f>I30</f>
        <v>421.79849203990324</v>
      </c>
      <c r="I42" s="76" t="str">
        <f>IF(AND(I30&gt;Assumptions!C48,G29&gt;Assumptions!C47),"YES","NO")</f>
        <v>NO</v>
      </c>
      <c r="J42" s="79">
        <f>IF(E27&gt;Assumptions!C46,Assumptions!C12,0)+IF(G29&gt;Assumptions!C47,Assumptions!C13,0)+IF(AND(I30&gt;Assumptions!C48,G29&gt;Assumptions!C47),Assumptions!C14,0)</f>
        <v>512.43999999999994</v>
      </c>
      <c r="K42" s="80">
        <f>(1-Assumptions!C31)*(1-Assumptions!C34)*(1-Assumptions!C37)</f>
        <v>0.21724958817413131</v>
      </c>
      <c r="L42" s="81">
        <f>(IF(E27&gt;Assumptions!C46,Assumptions!C12*EXP(-Assumptions!C20*Assumptions!C23),0)+IF(G29&gt;Assumptions!C47,Assumptions!C13*EXP(-Assumptions!C20*Assumptions!C24),0)+IF(AND(I30&gt;Assumptions!C48,G29&gt;Assumptions!C47),Assumptions!C14*EXP(-Assumptions!C20*Assumptions!C25),0))*(1-Assumptions!C31)*(1-Assumptions!C34)*(1-Assumptions!C37)</f>
        <v>108.85048251549532</v>
      </c>
    </row>
    <row r="43" spans="2:12" ht="16.05" customHeight="1" x14ac:dyDescent="0.3">
      <c r="B43" s="106" t="s">
        <v>248</v>
      </c>
      <c r="C43" s="102"/>
      <c r="D43" s="102"/>
      <c r="E43" s="102"/>
      <c r="F43" s="102"/>
      <c r="G43" s="102"/>
      <c r="H43" s="102"/>
      <c r="I43" s="102"/>
      <c r="J43" s="103"/>
      <c r="K43" s="82">
        <f>SUM(K35:K42)</f>
        <v>1</v>
      </c>
    </row>
    <row r="44" spans="2:12" ht="7.95" customHeight="1" x14ac:dyDescent="0.3"/>
    <row r="45" spans="2:12" ht="19.95" customHeight="1" x14ac:dyDescent="0.3">
      <c r="B45" s="107" t="s">
        <v>249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3"/>
    </row>
    <row r="46" spans="2:12" ht="18" customHeight="1" x14ac:dyDescent="0.3">
      <c r="B46" s="108" t="s">
        <v>250</v>
      </c>
      <c r="C46" s="109"/>
      <c r="D46" s="109"/>
      <c r="E46" s="110"/>
      <c r="F46" s="83">
        <f>SUM(L35:L42)</f>
        <v>1042.2627549365525</v>
      </c>
    </row>
    <row r="47" spans="2:12" ht="18" customHeight="1" x14ac:dyDescent="0.3">
      <c r="B47" s="111" t="s">
        <v>251</v>
      </c>
      <c r="C47" s="102"/>
      <c r="D47" s="102"/>
      <c r="E47" s="103"/>
      <c r="F47" s="84">
        <v>632</v>
      </c>
    </row>
    <row r="48" spans="2:12" ht="18" customHeight="1" x14ac:dyDescent="0.3">
      <c r="B48" s="101" t="s">
        <v>252</v>
      </c>
      <c r="C48" s="102"/>
      <c r="D48" s="102"/>
      <c r="E48" s="103"/>
      <c r="F48" s="85">
        <f>F46-F47</f>
        <v>410.26275493655248</v>
      </c>
    </row>
    <row r="49" spans="2:12" ht="18" customHeight="1" x14ac:dyDescent="0.3">
      <c r="B49" s="101" t="s">
        <v>253</v>
      </c>
      <c r="C49" s="102"/>
      <c r="D49" s="102"/>
      <c r="E49" s="103"/>
      <c r="F49" s="86">
        <f>F48/F47</f>
        <v>0.64914992869707666</v>
      </c>
    </row>
    <row r="50" spans="2:12" ht="18" customHeight="1" x14ac:dyDescent="0.3">
      <c r="B50" s="104" t="s">
        <v>254</v>
      </c>
      <c r="C50" s="102"/>
      <c r="D50" s="102"/>
      <c r="E50" s="103"/>
      <c r="F50" s="87">
        <f>Assumptions!C8</f>
        <v>2300</v>
      </c>
    </row>
    <row r="51" spans="2:12" ht="18" customHeight="1" x14ac:dyDescent="0.3">
      <c r="B51" s="104" t="s">
        <v>255</v>
      </c>
      <c r="C51" s="102"/>
      <c r="D51" s="102"/>
      <c r="E51" s="103"/>
      <c r="F51" s="36">
        <f>F46/F50</f>
        <v>0.45315771953763151</v>
      </c>
    </row>
    <row r="52" spans="2:12" ht="18" customHeight="1" x14ac:dyDescent="0.3">
      <c r="B52" s="104" t="s">
        <v>256</v>
      </c>
      <c r="C52" s="102"/>
      <c r="D52" s="102"/>
      <c r="E52" s="103"/>
      <c r="F52" s="36">
        <f>F47/F50</f>
        <v>0.27478260869565219</v>
      </c>
    </row>
    <row r="54" spans="2:12" ht="30" customHeight="1" x14ac:dyDescent="0.3">
      <c r="B54" s="105" t="s">
        <v>257</v>
      </c>
      <c r="C54" s="102"/>
      <c r="D54" s="102"/>
      <c r="E54" s="102"/>
      <c r="F54" s="102"/>
      <c r="G54" s="102"/>
      <c r="H54" s="102"/>
      <c r="I54" s="102"/>
      <c r="J54" s="102"/>
      <c r="K54" s="102"/>
      <c r="L54" s="103"/>
    </row>
  </sheetData>
  <mergeCells count="15">
    <mergeCell ref="B1:L1"/>
    <mergeCell ref="B2:L2"/>
    <mergeCell ref="B4:L4"/>
    <mergeCell ref="B14:L14"/>
    <mergeCell ref="B33:L33"/>
    <mergeCell ref="B43:J43"/>
    <mergeCell ref="B45:L45"/>
    <mergeCell ref="B46:E46"/>
    <mergeCell ref="B47:E47"/>
    <mergeCell ref="B48:E48"/>
    <mergeCell ref="B49:E49"/>
    <mergeCell ref="B50:E50"/>
    <mergeCell ref="B51:E51"/>
    <mergeCell ref="B52:E52"/>
    <mergeCell ref="B54:L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2"/>
  <sheetViews>
    <sheetView showGridLines="0" workbookViewId="0">
      <selection activeCell="P10" sqref="P10"/>
    </sheetView>
  </sheetViews>
  <sheetFormatPr defaultRowHeight="14.4" x14ac:dyDescent="0.3"/>
  <cols>
    <col min="1" max="1" width="2" customWidth="1"/>
    <col min="2" max="2" width="40" customWidth="1"/>
    <col min="3" max="5" width="20" customWidth="1"/>
    <col min="6" max="6" width="2" customWidth="1"/>
  </cols>
  <sheetData>
    <row r="1" spans="2:5" ht="28.05" customHeight="1" x14ac:dyDescent="0.3">
      <c r="B1" s="112" t="s">
        <v>258</v>
      </c>
      <c r="C1" s="113"/>
      <c r="D1" s="113"/>
      <c r="E1" s="113"/>
    </row>
    <row r="3" spans="2:5" ht="18" customHeight="1" x14ac:dyDescent="0.3">
      <c r="B3" s="1" t="s">
        <v>259</v>
      </c>
      <c r="C3" s="88" t="s">
        <v>260</v>
      </c>
      <c r="D3" s="88" t="s">
        <v>261</v>
      </c>
      <c r="E3" s="88" t="s">
        <v>262</v>
      </c>
    </row>
    <row r="4" spans="2:5" ht="16.95" customHeight="1" x14ac:dyDescent="0.3">
      <c r="B4" s="3" t="s">
        <v>263</v>
      </c>
      <c r="C4" s="25">
        <f>Assumptions!C5*Assumptions!C4</f>
        <v>7307.84</v>
      </c>
      <c r="D4" s="25">
        <f>Assumptions!C5*Assumptions!C4</f>
        <v>7307.84</v>
      </c>
      <c r="E4" s="36">
        <f>D4/D10</f>
        <v>0.82807421091070776</v>
      </c>
    </row>
    <row r="5" spans="2:5" ht="16.95" customHeight="1" x14ac:dyDescent="0.3">
      <c r="B5" s="89" t="s">
        <v>264</v>
      </c>
      <c r="C5" s="27">
        <f>Assumptions!C12</f>
        <v>512.43999999999994</v>
      </c>
      <c r="D5" s="27">
        <f>C5/$C$8*$D$8</f>
        <v>232.17475412630225</v>
      </c>
    </row>
    <row r="6" spans="2:5" ht="16.95" customHeight="1" x14ac:dyDescent="0.3">
      <c r="B6" s="90" t="s">
        <v>265</v>
      </c>
      <c r="C6" s="25">
        <f>Assumptions!C13</f>
        <v>712.96</v>
      </c>
      <c r="D6" s="27">
        <f t="shared" ref="D6:D7" si="0">C6/$C$8*$D$8</f>
        <v>323.02574487137707</v>
      </c>
    </row>
    <row r="7" spans="2:5" ht="16.95" customHeight="1" x14ac:dyDescent="0.3">
      <c r="B7" s="89" t="s">
        <v>266</v>
      </c>
      <c r="C7" s="27">
        <f>Assumptions!C14</f>
        <v>1075.01</v>
      </c>
      <c r="D7" s="27">
        <f t="shared" si="0"/>
        <v>487.06225593887325</v>
      </c>
    </row>
    <row r="8" spans="2:5" ht="16.95" customHeight="1" x14ac:dyDescent="0.3">
      <c r="B8" s="90" t="s">
        <v>267</v>
      </c>
      <c r="C8" s="25">
        <f>SUM(C5:C7)</f>
        <v>2300.41</v>
      </c>
      <c r="D8" s="25">
        <f>'CVR Binomial Tree'!F46</f>
        <v>1042.2627549365525</v>
      </c>
      <c r="E8" s="36">
        <f>D8/D10</f>
        <v>0.11810205318612697</v>
      </c>
    </row>
    <row r="9" spans="2:5" ht="16.95" customHeight="1" x14ac:dyDescent="0.3">
      <c r="B9" s="5" t="s">
        <v>268</v>
      </c>
      <c r="C9" s="27">
        <f>Assumptions!C16</f>
        <v>475</v>
      </c>
      <c r="D9" s="27">
        <f>Assumptions!C16</f>
        <v>475</v>
      </c>
      <c r="E9" s="22">
        <f>D9/D10</f>
        <v>5.3823735903165124E-2</v>
      </c>
    </row>
    <row r="10" spans="2:5" ht="16.95" customHeight="1" x14ac:dyDescent="0.3">
      <c r="B10" s="23" t="s">
        <v>269</v>
      </c>
      <c r="C10" s="91">
        <f>C4+C8+C9</f>
        <v>10083.25</v>
      </c>
      <c r="D10" s="91">
        <f>D4+D8+D9</f>
        <v>8825.1027549365535</v>
      </c>
      <c r="E10" s="92">
        <f>D10/D10</f>
        <v>1</v>
      </c>
    </row>
    <row r="11" spans="2:5" ht="7.95" customHeight="1" x14ac:dyDescent="0.3"/>
    <row r="12" spans="2:5" ht="18" customHeight="1" x14ac:dyDescent="0.3">
      <c r="B12" s="115" t="s">
        <v>270</v>
      </c>
      <c r="C12" s="102"/>
      <c r="D12" s="102"/>
      <c r="E12" s="103"/>
    </row>
    <row r="13" spans="2:5" ht="16.05" customHeight="1" x14ac:dyDescent="0.3">
      <c r="B13" s="104" t="s">
        <v>271</v>
      </c>
      <c r="C13" s="103"/>
      <c r="D13" s="147">
        <f>D10/('Metsera rNPV'!C9*1000)</f>
        <v>1.4869223234080988</v>
      </c>
      <c r="E13" s="103"/>
    </row>
    <row r="14" spans="2:5" ht="16.05" customHeight="1" x14ac:dyDescent="0.3">
      <c r="B14" s="118" t="s">
        <v>272</v>
      </c>
      <c r="C14" s="103"/>
      <c r="D14" s="146">
        <f>Assumptions!C8/(Assumptions!C5*Assumptions!C4)</f>
        <v>0.31473048123658975</v>
      </c>
      <c r="E14" s="103"/>
    </row>
    <row r="15" spans="2:5" ht="16.05" customHeight="1" x14ac:dyDescent="0.3">
      <c r="B15" s="104" t="s">
        <v>273</v>
      </c>
      <c r="C15" s="103"/>
      <c r="D15" s="145">
        <f>'CVR Binomial Tree'!F46/D10</f>
        <v>0.11810205318612697</v>
      </c>
      <c r="E15" s="103"/>
    </row>
    <row r="16" spans="2:5" ht="16.05" customHeight="1" x14ac:dyDescent="0.3">
      <c r="B16" s="118" t="s">
        <v>274</v>
      </c>
      <c r="C16" s="103"/>
      <c r="D16" s="146">
        <f>Assumptions!C15/Assumptions!C8</f>
        <v>0.27478260869565219</v>
      </c>
      <c r="E16" s="103"/>
    </row>
    <row r="17" spans="2:5" ht="16.05" customHeight="1" x14ac:dyDescent="0.3">
      <c r="B17" s="104" t="s">
        <v>275</v>
      </c>
      <c r="C17" s="103"/>
      <c r="D17" s="145">
        <f>'CVR Binomial Tree'!F46/Assumptions!C8</f>
        <v>0.45315771953763151</v>
      </c>
      <c r="E17" s="103"/>
    </row>
    <row r="18" spans="2:5" ht="16.05" customHeight="1" x14ac:dyDescent="0.3">
      <c r="B18" s="118" t="s">
        <v>276</v>
      </c>
      <c r="C18" s="103"/>
      <c r="D18" s="142">
        <f>'Pfizer Financials'!J6</f>
        <v>56282</v>
      </c>
      <c r="E18" s="103"/>
    </row>
    <row r="19" spans="2:5" ht="16.05" customHeight="1" x14ac:dyDescent="0.3">
      <c r="B19" s="104" t="s">
        <v>277</v>
      </c>
      <c r="C19" s="103"/>
      <c r="D19" s="143">
        <v>17000</v>
      </c>
      <c r="E19" s="103"/>
    </row>
    <row r="20" spans="2:5" ht="16.05" customHeight="1" x14ac:dyDescent="0.3">
      <c r="B20" s="118" t="s">
        <v>278</v>
      </c>
      <c r="C20" s="103"/>
      <c r="D20" s="144">
        <f>'Metsera rNPV'!C9*1000/D19</f>
        <v>0.3491263015521881</v>
      </c>
      <c r="E20" s="103"/>
    </row>
    <row r="21" spans="2:5" x14ac:dyDescent="0.3">
      <c r="B21" t="s">
        <v>279</v>
      </c>
      <c r="C21" s="93">
        <f>Assumptions!C41</f>
        <v>0.62</v>
      </c>
    </row>
    <row r="22" spans="2:5" x14ac:dyDescent="0.3">
      <c r="B22" t="s">
        <v>280</v>
      </c>
      <c r="C22" s="93">
        <f>Assumptions!C43</f>
        <v>0.34100000000000003</v>
      </c>
    </row>
  </sheetData>
  <mergeCells count="18">
    <mergeCell ref="B1:E1"/>
    <mergeCell ref="B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6"/>
  <sheetViews>
    <sheetView showGridLines="0" workbookViewId="0">
      <selection activeCell="I11" sqref="I11"/>
    </sheetView>
  </sheetViews>
  <sheetFormatPr defaultRowHeight="14.4" x14ac:dyDescent="0.3"/>
  <cols>
    <col min="1" max="1" width="2" customWidth="1"/>
    <col min="2" max="2" width="28" customWidth="1"/>
    <col min="3" max="14" width="10" customWidth="1"/>
  </cols>
  <sheetData>
    <row r="1" spans="2:14" ht="28.05" customHeight="1" x14ac:dyDescent="0.3">
      <c r="B1" s="112" t="s">
        <v>281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2:14" ht="24" customHeight="1" x14ac:dyDescent="0.3">
      <c r="B2" s="141" t="s">
        <v>282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2:14" x14ac:dyDescent="0.3">
      <c r="B3" s="94" t="s">
        <v>283</v>
      </c>
    </row>
    <row r="4" spans="2:14" ht="19.95" customHeight="1" x14ac:dyDescent="0.3">
      <c r="B4" s="148" t="s">
        <v>284</v>
      </c>
      <c r="C4" s="148" t="s">
        <v>285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2:14" ht="18" customHeight="1" x14ac:dyDescent="0.3">
      <c r="B5" s="113"/>
      <c r="C5" s="95">
        <v>0.35</v>
      </c>
      <c r="D5" s="95">
        <v>0.4</v>
      </c>
      <c r="E5" s="95">
        <v>0.45</v>
      </c>
      <c r="F5" s="95">
        <v>0.5</v>
      </c>
      <c r="G5" s="95">
        <v>0.55000000000000004</v>
      </c>
      <c r="H5" s="95">
        <v>0.6</v>
      </c>
      <c r="I5" s="95">
        <v>0.65</v>
      </c>
      <c r="J5" s="95">
        <v>0.7</v>
      </c>
      <c r="K5" s="95">
        <v>0.75</v>
      </c>
      <c r="L5" s="95">
        <v>0.8</v>
      </c>
      <c r="M5" s="95">
        <v>0.85</v>
      </c>
      <c r="N5" s="95">
        <v>0.9</v>
      </c>
    </row>
    <row r="6" spans="2:14" x14ac:dyDescent="0.3">
      <c r="B6" s="1" t="s">
        <v>286</v>
      </c>
    </row>
    <row r="7" spans="2:14" ht="16.05" customHeight="1" x14ac:dyDescent="0.3">
      <c r="B7" s="95">
        <v>0.3</v>
      </c>
      <c r="C7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7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7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7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7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7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7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7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7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7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7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7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8" spans="2:14" ht="16.05" customHeight="1" x14ac:dyDescent="0.3">
      <c r="B8" s="95">
        <v>0.35</v>
      </c>
      <c r="C8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8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8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8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8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8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8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8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8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8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8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8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9" spans="2:14" ht="16.05" customHeight="1" x14ac:dyDescent="0.3">
      <c r="B9" s="95">
        <v>0.4</v>
      </c>
      <c r="C9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9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9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9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9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9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9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9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9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9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9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9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0" spans="2:14" ht="16.05" customHeight="1" x14ac:dyDescent="0.3">
      <c r="B10" s="95">
        <v>0.45</v>
      </c>
      <c r="C10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0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0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0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0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0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0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0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0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0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0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0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1" spans="2:14" ht="16.05" customHeight="1" x14ac:dyDescent="0.3">
      <c r="B11" s="95">
        <v>0.5</v>
      </c>
      <c r="C11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1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1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1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1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1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1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1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1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1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1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1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2" spans="2:14" ht="16.05" customHeight="1" x14ac:dyDescent="0.3">
      <c r="B12" s="95">
        <v>0.55000000000000004</v>
      </c>
      <c r="C12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2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2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2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2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2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2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2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2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2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2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2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3" spans="2:14" ht="16.05" customHeight="1" x14ac:dyDescent="0.3">
      <c r="B13" s="95">
        <v>0.6</v>
      </c>
      <c r="C13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3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3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3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3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3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3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3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3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3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3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3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4" spans="2:14" ht="16.05" customHeight="1" x14ac:dyDescent="0.3">
      <c r="B14" s="95">
        <v>0.65</v>
      </c>
      <c r="C14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4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4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4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4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4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4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4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4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4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4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4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5" spans="2:14" ht="16.05" customHeight="1" x14ac:dyDescent="0.3">
      <c r="B15" s="95">
        <v>0.7</v>
      </c>
      <c r="C15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5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5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5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5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5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5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5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5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5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5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5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6" spans="2:14" ht="16.05" customHeight="1" x14ac:dyDescent="0.3">
      <c r="B16" s="95">
        <v>0.75</v>
      </c>
      <c r="C16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6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6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6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6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6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6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6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6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6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6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6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17" spans="2:14" ht="16.05" customHeight="1" x14ac:dyDescent="0.3">
      <c r="B17" s="95">
        <v>0.8</v>
      </c>
      <c r="C17" s="64">
        <f>Assumptions!C13*Assumptions!C40*EXP(-Assumptions!C20*Assumptions!C23)+Assumptions!C14*0.35*EXP(-Assumptions!C20*Assumptions!C24)+Assumptions!C15*0.35*Assumptions!C42*EXP(-Assumptions!C20*Assumptions!C25)</f>
        <v>1022.8905374575662</v>
      </c>
      <c r="D17" s="64">
        <f>Assumptions!C13*Assumptions!C40*EXP(-Assumptions!C20*Assumptions!C23)+Assumptions!C14*0.4*EXP(-Assumptions!C20*Assumptions!C24)+Assumptions!C15*0.4*Assumptions!C42*EXP(-Assumptions!C20*Assumptions!C25)</f>
        <v>1084.3702008430819</v>
      </c>
      <c r="E17" s="64">
        <f>Assumptions!C13*Assumptions!C40*EXP(-Assumptions!C20*Assumptions!C23)+Assumptions!C14*0.45*EXP(-Assumptions!C20*Assumptions!C24)+Assumptions!C15*0.45*Assumptions!C42*EXP(-Assumptions!C20*Assumptions!C25)</f>
        <v>1145.8498642285974</v>
      </c>
      <c r="F17" s="64">
        <f>Assumptions!C13*Assumptions!C40*EXP(-Assumptions!C20*Assumptions!C23)+Assumptions!C14*0.5*EXP(-Assumptions!C20*Assumptions!C24)+Assumptions!C15*0.5*Assumptions!C42*EXP(-Assumptions!C20*Assumptions!C25)</f>
        <v>1207.329527614113</v>
      </c>
      <c r="G17" s="64">
        <f>Assumptions!C13*Assumptions!C40*EXP(-Assumptions!C20*Assumptions!C23)+Assumptions!C14*0.55*EXP(-Assumptions!C20*Assumptions!C24)+Assumptions!C15*0.55*Assumptions!C42*EXP(-Assumptions!C20*Assumptions!C25)</f>
        <v>1268.8091909996288</v>
      </c>
      <c r="H17" s="64">
        <f>Assumptions!C13*Assumptions!C40*EXP(-Assumptions!C20*Assumptions!C23)+Assumptions!C14*0.6*EXP(-Assumptions!C20*Assumptions!C24)+Assumptions!C15*0.6*Assumptions!C42*EXP(-Assumptions!C20*Assumptions!C25)</f>
        <v>1330.2888543851441</v>
      </c>
      <c r="I17" s="64">
        <f>Assumptions!C13*Assumptions!C40*EXP(-Assumptions!C20*Assumptions!C23)+Assumptions!C14*0.65*EXP(-Assumptions!C20*Assumptions!C24)+Assumptions!C15*0.65*Assumptions!C42*EXP(-Assumptions!C20*Assumptions!C25)</f>
        <v>1391.7685177706596</v>
      </c>
      <c r="J17" s="64">
        <f>Assumptions!C13*Assumptions!C40*EXP(-Assumptions!C20*Assumptions!C23)+Assumptions!C14*0.7*EXP(-Assumptions!C20*Assumptions!C24)+Assumptions!C15*0.7*Assumptions!C42*EXP(-Assumptions!C20*Assumptions!C25)</f>
        <v>1453.2481811561754</v>
      </c>
      <c r="K17" s="64">
        <f>Assumptions!C13*Assumptions!C40*EXP(-Assumptions!C20*Assumptions!C23)+Assumptions!C14*0.75*EXP(-Assumptions!C20*Assumptions!C24)+Assumptions!C15*0.75*Assumptions!C42*EXP(-Assumptions!C20*Assumptions!C25)</f>
        <v>1514.727844541691</v>
      </c>
      <c r="L17" s="64">
        <f>Assumptions!C13*Assumptions!C40*EXP(-Assumptions!C20*Assumptions!C23)+Assumptions!C14*0.8*EXP(-Assumptions!C20*Assumptions!C24)+Assumptions!C15*0.8*Assumptions!C42*EXP(-Assumptions!C20*Assumptions!C25)</f>
        <v>1576.2075079272067</v>
      </c>
      <c r="M17" s="64">
        <f>Assumptions!C13*Assumptions!C40*EXP(-Assumptions!C20*Assumptions!C23)+Assumptions!C14*0.85*EXP(-Assumptions!C20*Assumptions!C24)+Assumptions!C15*0.85*Assumptions!C42*EXP(-Assumptions!C20*Assumptions!C25)</f>
        <v>1637.6871713127221</v>
      </c>
      <c r="N17" s="64">
        <f>Assumptions!C13*Assumptions!C40*EXP(-Assumptions!C20*Assumptions!C23)+Assumptions!C14*0.9*EXP(-Assumptions!C20*Assumptions!C24)+Assumptions!C15*0.9*Assumptions!C42*EXP(-Assumptions!C20*Assumptions!C25)</f>
        <v>1699.1668346982378</v>
      </c>
    </row>
    <row r="20" spans="2:14" ht="7.95" customHeight="1" x14ac:dyDescent="0.3"/>
    <row r="21" spans="2:14" ht="19.95" customHeight="1" x14ac:dyDescent="0.3">
      <c r="B21" s="149" t="s">
        <v>287</v>
      </c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ht="19.95" customHeight="1" x14ac:dyDescent="0.3">
      <c r="B22" s="148" t="s">
        <v>288</v>
      </c>
      <c r="C22" s="148" t="s">
        <v>289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ht="18" customHeight="1" x14ac:dyDescent="0.3">
      <c r="B23" s="113"/>
      <c r="C23" s="95">
        <v>0.3</v>
      </c>
      <c r="D23" s="95">
        <v>0.35</v>
      </c>
      <c r="E23" s="95">
        <v>0.4</v>
      </c>
      <c r="F23" s="95">
        <v>0.45</v>
      </c>
      <c r="G23" s="95">
        <v>0.5</v>
      </c>
      <c r="H23" s="95">
        <v>0.55000000000000004</v>
      </c>
      <c r="I23" s="95">
        <v>0.6</v>
      </c>
      <c r="J23" s="95">
        <v>0.65</v>
      </c>
      <c r="K23" s="95">
        <v>0.7</v>
      </c>
      <c r="L23" s="95">
        <v>0.75</v>
      </c>
      <c r="M23" s="95">
        <v>0.8</v>
      </c>
      <c r="N23" s="95">
        <v>0.85</v>
      </c>
    </row>
    <row r="24" spans="2:14" ht="16.05" customHeight="1" x14ac:dyDescent="0.3">
      <c r="B24" s="95">
        <v>0.4</v>
      </c>
      <c r="C24" s="64">
        <f>Assumptions!C13*Assumptions!C40*EXP(-Assumptions!C20*Assumptions!C23)+Assumptions!C14*0.4*EXP(-Assumptions!C20*Assumptions!C24)+Assumptions!C15*0.4*0.3*EXP(-Assumptions!C20*Assumptions!C25)</f>
        <v>1031.5811234818893</v>
      </c>
      <c r="D24" s="64">
        <f>Assumptions!C13*Assumptions!C40*EXP(-Assumptions!C20*Assumptions!C23)+Assumptions!C14*0.4*EXP(-Assumptions!C20*Assumptions!C24)+Assumptions!C15*0.4*0.35*EXP(-Assumptions!C20*Assumptions!C25)</f>
        <v>1042.1389389541278</v>
      </c>
      <c r="E24" s="64">
        <f>Assumptions!C13*Assumptions!C40*EXP(-Assumptions!C20*Assumptions!C23)+Assumptions!C14*0.4*EXP(-Assumptions!C20*Assumptions!C24)+Assumptions!C15*0.4*0.4*EXP(-Assumptions!C20*Assumptions!C25)</f>
        <v>1052.6967544263664</v>
      </c>
      <c r="F24" s="64">
        <f>Assumptions!C13*Assumptions!C40*EXP(-Assumptions!C20*Assumptions!C23)+Assumptions!C14*0.4*EXP(-Assumptions!C20*Assumptions!C24)+Assumptions!C15*0.4*0.45*EXP(-Assumptions!C20*Assumptions!C25)</f>
        <v>1063.2545698986048</v>
      </c>
      <c r="G24" s="64">
        <f>Assumptions!C13*Assumptions!C40*EXP(-Assumptions!C20*Assumptions!C23)+Assumptions!C14*0.4*EXP(-Assumptions!C20*Assumptions!C24)+Assumptions!C15*0.4*0.5*EXP(-Assumptions!C20*Assumptions!C25)</f>
        <v>1073.8123853708432</v>
      </c>
      <c r="H24" s="64">
        <f>Assumptions!C13*Assumptions!C40*EXP(-Assumptions!C20*Assumptions!C23)+Assumptions!C14*0.4*EXP(-Assumptions!C20*Assumptions!C24)+Assumptions!C15*0.4*0.55*EXP(-Assumptions!C20*Assumptions!C25)</f>
        <v>1084.3702008430819</v>
      </c>
      <c r="I24" s="64">
        <f>Assumptions!C13*Assumptions!C40*EXP(-Assumptions!C20*Assumptions!C23)+Assumptions!C14*0.4*EXP(-Assumptions!C20*Assumptions!C24)+Assumptions!C15*0.4*0.6*EXP(-Assumptions!C20*Assumptions!C25)</f>
        <v>1094.9280163153203</v>
      </c>
      <c r="J24" s="64">
        <f>Assumptions!C13*Assumptions!C40*EXP(-Assumptions!C20*Assumptions!C23)+Assumptions!C14*0.4*EXP(-Assumptions!C20*Assumptions!C24)+Assumptions!C15*0.4*0.65*EXP(-Assumptions!C20*Assumptions!C25)</f>
        <v>1105.4858317875587</v>
      </c>
      <c r="K24" s="64">
        <f>Assumptions!C13*Assumptions!C40*EXP(-Assumptions!C20*Assumptions!C23)+Assumptions!C14*0.4*EXP(-Assumptions!C20*Assumptions!C24)+Assumptions!C15*0.4*0.7*EXP(-Assumptions!C20*Assumptions!C25)</f>
        <v>1116.0436472597971</v>
      </c>
      <c r="L24" s="64">
        <f>Assumptions!C13*Assumptions!C40*EXP(-Assumptions!C20*Assumptions!C23)+Assumptions!C14*0.4*EXP(-Assumptions!C20*Assumptions!C24)+Assumptions!C15*0.4*0.75*EXP(-Assumptions!C20*Assumptions!C25)</f>
        <v>1126.6014627320358</v>
      </c>
      <c r="M24" s="64">
        <f>Assumptions!C13*Assumptions!C40*EXP(-Assumptions!C20*Assumptions!C23)+Assumptions!C14*0.4*EXP(-Assumptions!C20*Assumptions!C24)+Assumptions!C15*0.4*0.8*EXP(-Assumptions!C20*Assumptions!C25)</f>
        <v>1137.1592782042742</v>
      </c>
      <c r="N24" s="64">
        <f>Assumptions!C13*Assumptions!C40*EXP(-Assumptions!C20*Assumptions!C23)+Assumptions!C14*0.4*EXP(-Assumptions!C20*Assumptions!C24)+Assumptions!C15*0.4*0.85*EXP(-Assumptions!C20*Assumptions!C25)</f>
        <v>1147.7170936765126</v>
      </c>
    </row>
    <row r="25" spans="2:14" ht="16.05" customHeight="1" x14ac:dyDescent="0.3">
      <c r="B25" s="95">
        <v>0.45</v>
      </c>
      <c r="C25" s="64">
        <f>Assumptions!C13*Assumptions!C40*EXP(-Assumptions!C20*Assumptions!C23)+Assumptions!C14*0.45*EXP(-Assumptions!C20*Assumptions!C24)+Assumptions!C15*0.45*0.3*EXP(-Assumptions!C20*Assumptions!C25)</f>
        <v>1086.4621521972558</v>
      </c>
      <c r="D25" s="64">
        <f>Assumptions!C13*Assumptions!C40*EXP(-Assumptions!C20*Assumptions!C23)+Assumptions!C14*0.45*EXP(-Assumptions!C20*Assumptions!C24)+Assumptions!C15*0.45*0.35*EXP(-Assumptions!C20*Assumptions!C25)</f>
        <v>1098.3396946035241</v>
      </c>
      <c r="E25" s="64">
        <f>Assumptions!C13*Assumptions!C40*EXP(-Assumptions!C20*Assumptions!C23)+Assumptions!C14*0.45*EXP(-Assumptions!C20*Assumptions!C24)+Assumptions!C15*0.45*0.4*EXP(-Assumptions!C20*Assumptions!C25)</f>
        <v>1110.2172370097924</v>
      </c>
      <c r="F25" s="64">
        <f>Assumptions!C13*Assumptions!C40*EXP(-Assumptions!C20*Assumptions!C23)+Assumptions!C14*0.45*EXP(-Assumptions!C20*Assumptions!C24)+Assumptions!C15*0.45*0.45*EXP(-Assumptions!C20*Assumptions!C25)</f>
        <v>1122.0947794160609</v>
      </c>
      <c r="G25" s="64">
        <f>Assumptions!C13*Assumptions!C40*EXP(-Assumptions!C20*Assumptions!C23)+Assumptions!C14*0.45*EXP(-Assumptions!C20*Assumptions!C24)+Assumptions!C15*0.45*0.5*EXP(-Assumptions!C20*Assumptions!C25)</f>
        <v>1133.9723218223291</v>
      </c>
      <c r="H25" s="64">
        <f>Assumptions!C13*Assumptions!C40*EXP(-Assumptions!C20*Assumptions!C23)+Assumptions!C14*0.45*EXP(-Assumptions!C20*Assumptions!C24)+Assumptions!C15*0.45*0.55*EXP(-Assumptions!C20*Assumptions!C25)</f>
        <v>1145.8498642285974</v>
      </c>
      <c r="I25" s="64">
        <f>Assumptions!C13*Assumptions!C40*EXP(-Assumptions!C20*Assumptions!C23)+Assumptions!C14*0.45*EXP(-Assumptions!C20*Assumptions!C24)+Assumptions!C15*0.45*0.6*EXP(-Assumptions!C20*Assumptions!C25)</f>
        <v>1157.7274066348657</v>
      </c>
      <c r="J25" s="64">
        <f>Assumptions!C13*Assumptions!C40*EXP(-Assumptions!C20*Assumptions!C23)+Assumptions!C14*0.45*EXP(-Assumptions!C20*Assumptions!C24)+Assumptions!C15*0.45*0.65*EXP(-Assumptions!C20*Assumptions!C25)</f>
        <v>1169.604949041134</v>
      </c>
      <c r="K25" s="64">
        <f>Assumptions!C13*Assumptions!C40*EXP(-Assumptions!C20*Assumptions!C23)+Assumptions!C14*0.45*EXP(-Assumptions!C20*Assumptions!C24)+Assumptions!C15*0.45*0.7*EXP(-Assumptions!C20*Assumptions!C25)</f>
        <v>1181.4824914474023</v>
      </c>
      <c r="L25" s="64">
        <f>Assumptions!C13*Assumptions!C40*EXP(-Assumptions!C20*Assumptions!C23)+Assumptions!C14*0.45*EXP(-Assumptions!C20*Assumptions!C24)+Assumptions!C15*0.45*0.75*EXP(-Assumptions!C20*Assumptions!C25)</f>
        <v>1193.3600338536705</v>
      </c>
      <c r="M25" s="64">
        <f>Assumptions!C13*Assumptions!C40*EXP(-Assumptions!C20*Assumptions!C23)+Assumptions!C14*0.45*EXP(-Assumptions!C20*Assumptions!C24)+Assumptions!C15*0.45*0.8*EXP(-Assumptions!C20*Assumptions!C25)</f>
        <v>1205.2375762599388</v>
      </c>
      <c r="N25" s="64">
        <f>Assumptions!C13*Assumptions!C40*EXP(-Assumptions!C20*Assumptions!C23)+Assumptions!C14*0.45*EXP(-Assumptions!C20*Assumptions!C24)+Assumptions!C15*0.45*0.85*EXP(-Assumptions!C20*Assumptions!C25)</f>
        <v>1217.1151186662071</v>
      </c>
    </row>
    <row r="26" spans="2:14" ht="16.05" customHeight="1" x14ac:dyDescent="0.3">
      <c r="B26" s="95">
        <v>0.5</v>
      </c>
      <c r="C26" s="64">
        <f>Assumptions!C13*Assumptions!C40*EXP(-Assumptions!C20*Assumptions!C23)+Assumptions!C14*0.5*EXP(-Assumptions!C20*Assumptions!C24)+Assumptions!C15*0.5*0.3*EXP(-Assumptions!C20*Assumptions!C25)</f>
        <v>1141.3431809126225</v>
      </c>
      <c r="D26" s="64">
        <f>Assumptions!C13*Assumptions!C40*EXP(-Assumptions!C20*Assumptions!C23)+Assumptions!C14*0.5*EXP(-Assumptions!C20*Assumptions!C24)+Assumptions!C15*0.5*0.35*EXP(-Assumptions!C20*Assumptions!C25)</f>
        <v>1154.5404502529207</v>
      </c>
      <c r="E26" s="64">
        <f>Assumptions!C13*Assumptions!C40*EXP(-Assumptions!C20*Assumptions!C23)+Assumptions!C14*0.5*EXP(-Assumptions!C20*Assumptions!C24)+Assumptions!C15*0.5*0.4*EXP(-Assumptions!C20*Assumptions!C25)</f>
        <v>1167.7377195932188</v>
      </c>
      <c r="F26" s="64">
        <f>Assumptions!C13*Assumptions!C40*EXP(-Assumptions!C20*Assumptions!C23)+Assumptions!C14*0.5*EXP(-Assumptions!C20*Assumptions!C24)+Assumptions!C15*0.5*0.45*EXP(-Assumptions!C20*Assumptions!C25)</f>
        <v>1180.9349889335169</v>
      </c>
      <c r="G26" s="64">
        <f>Assumptions!C13*Assumptions!C40*EXP(-Assumptions!C20*Assumptions!C23)+Assumptions!C14*0.5*EXP(-Assumptions!C20*Assumptions!C24)+Assumptions!C15*0.5*0.5*EXP(-Assumptions!C20*Assumptions!C25)</f>
        <v>1194.1322582738148</v>
      </c>
      <c r="H26" s="64">
        <f>Assumptions!C13*Assumptions!C40*EXP(-Assumptions!C20*Assumptions!C23)+Assumptions!C14*0.5*EXP(-Assumptions!C20*Assumptions!C24)+Assumptions!C15*0.5*0.55*EXP(-Assumptions!C20*Assumptions!C25)</f>
        <v>1207.329527614113</v>
      </c>
      <c r="I26" s="64">
        <f>Assumptions!C13*Assumptions!C40*EXP(-Assumptions!C20*Assumptions!C23)+Assumptions!C14*0.5*EXP(-Assumptions!C20*Assumptions!C24)+Assumptions!C15*0.5*0.6*EXP(-Assumptions!C20*Assumptions!C25)</f>
        <v>1220.5267969544111</v>
      </c>
      <c r="J26" s="64">
        <f>Assumptions!C13*Assumptions!C40*EXP(-Assumptions!C20*Assumptions!C23)+Assumptions!C14*0.5*EXP(-Assumptions!C20*Assumptions!C24)+Assumptions!C15*0.5*0.65*EXP(-Assumptions!C20*Assumptions!C25)</f>
        <v>1233.7240662947092</v>
      </c>
      <c r="K26" s="64">
        <f>Assumptions!C13*Assumptions!C40*EXP(-Assumptions!C20*Assumptions!C23)+Assumptions!C14*0.5*EXP(-Assumptions!C20*Assumptions!C24)+Assumptions!C15*0.5*0.7*EXP(-Assumptions!C20*Assumptions!C25)</f>
        <v>1246.9213356350074</v>
      </c>
      <c r="L26" s="64">
        <f>Assumptions!C13*Assumptions!C40*EXP(-Assumptions!C20*Assumptions!C23)+Assumptions!C14*0.5*EXP(-Assumptions!C20*Assumptions!C24)+Assumptions!C15*0.5*0.75*EXP(-Assumptions!C20*Assumptions!C25)</f>
        <v>1260.1186049753055</v>
      </c>
      <c r="M26" s="64">
        <f>Assumptions!C13*Assumptions!C40*EXP(-Assumptions!C20*Assumptions!C23)+Assumptions!C14*0.5*EXP(-Assumptions!C20*Assumptions!C24)+Assumptions!C15*0.5*0.8*EXP(-Assumptions!C20*Assumptions!C25)</f>
        <v>1273.3158743156034</v>
      </c>
      <c r="N26" s="64">
        <f>Assumptions!C13*Assumptions!C40*EXP(-Assumptions!C20*Assumptions!C23)+Assumptions!C14*0.5*EXP(-Assumptions!C20*Assumptions!C24)+Assumptions!C15*0.5*0.85*EXP(-Assumptions!C20*Assumptions!C25)</f>
        <v>1286.5131436559016</v>
      </c>
    </row>
    <row r="27" spans="2:14" ht="16.05" customHeight="1" x14ac:dyDescent="0.3">
      <c r="B27" s="95">
        <v>0.55000000000000004</v>
      </c>
      <c r="C27" s="64">
        <f>Assumptions!C13*Assumptions!C40*EXP(-Assumptions!C20*Assumptions!C23)+Assumptions!C14*0.55*EXP(-Assumptions!C20*Assumptions!C24)+Assumptions!C15*0.55*0.3*EXP(-Assumptions!C20*Assumptions!C25)</f>
        <v>1196.2242096279892</v>
      </c>
      <c r="D27" s="64">
        <f>Assumptions!C13*Assumptions!C40*EXP(-Assumptions!C20*Assumptions!C23)+Assumptions!C14*0.55*EXP(-Assumptions!C20*Assumptions!C24)+Assumptions!C15*0.55*0.35*EXP(-Assumptions!C20*Assumptions!C25)</f>
        <v>1210.741205902317</v>
      </c>
      <c r="E27" s="64">
        <f>Assumptions!C13*Assumptions!C40*EXP(-Assumptions!C20*Assumptions!C23)+Assumptions!C14*0.55*EXP(-Assumptions!C20*Assumptions!C24)+Assumptions!C15*0.55*0.4*EXP(-Assumptions!C20*Assumptions!C25)</f>
        <v>1225.258202176645</v>
      </c>
      <c r="F27" s="64">
        <f>Assumptions!C13*Assumptions!C40*EXP(-Assumptions!C20*Assumptions!C23)+Assumptions!C14*0.55*EXP(-Assumptions!C20*Assumptions!C24)+Assumptions!C15*0.55*0.45*EXP(-Assumptions!C20*Assumptions!C25)</f>
        <v>1239.775198450973</v>
      </c>
      <c r="G27" s="64">
        <f>Assumptions!C13*Assumptions!C40*EXP(-Assumptions!C20*Assumptions!C23)+Assumptions!C14*0.55*EXP(-Assumptions!C20*Assumptions!C24)+Assumptions!C15*0.55*0.5*EXP(-Assumptions!C20*Assumptions!C25)</f>
        <v>1254.2921947253008</v>
      </c>
      <c r="H27" s="64">
        <f>Assumptions!C13*Assumptions!C40*EXP(-Assumptions!C20*Assumptions!C23)+Assumptions!C14*0.55*EXP(-Assumptions!C20*Assumptions!C24)+Assumptions!C15*0.55*0.55*EXP(-Assumptions!C20*Assumptions!C25)</f>
        <v>1268.8091909996288</v>
      </c>
      <c r="I27" s="64">
        <f>Assumptions!C13*Assumptions!C40*EXP(-Assumptions!C20*Assumptions!C23)+Assumptions!C14*0.55*EXP(-Assumptions!C20*Assumptions!C24)+Assumptions!C15*0.55*0.6*EXP(-Assumptions!C20*Assumptions!C25)</f>
        <v>1283.3261872739567</v>
      </c>
      <c r="J27" s="64">
        <f>Assumptions!C13*Assumptions!C40*EXP(-Assumptions!C20*Assumptions!C23)+Assumptions!C14*0.55*EXP(-Assumptions!C20*Assumptions!C24)+Assumptions!C15*0.55*0.65*EXP(-Assumptions!C20*Assumptions!C25)</f>
        <v>1297.8431835482845</v>
      </c>
      <c r="K27" s="64">
        <f>Assumptions!C13*Assumptions!C40*EXP(-Assumptions!C20*Assumptions!C23)+Assumptions!C14*0.55*EXP(-Assumptions!C20*Assumptions!C24)+Assumptions!C15*0.55*0.7*EXP(-Assumptions!C20*Assumptions!C25)</f>
        <v>1312.3601798226125</v>
      </c>
      <c r="L27" s="64">
        <f>Assumptions!C13*Assumptions!C40*EXP(-Assumptions!C20*Assumptions!C23)+Assumptions!C14*0.55*EXP(-Assumptions!C20*Assumptions!C24)+Assumptions!C15*0.55*0.75*EXP(-Assumptions!C20*Assumptions!C25)</f>
        <v>1326.8771760969403</v>
      </c>
      <c r="M27" s="64">
        <f>Assumptions!C13*Assumptions!C40*EXP(-Assumptions!C20*Assumptions!C23)+Assumptions!C14*0.55*EXP(-Assumptions!C20*Assumptions!C24)+Assumptions!C15*0.55*0.8*EXP(-Assumptions!C20*Assumptions!C25)</f>
        <v>1341.3941723712683</v>
      </c>
      <c r="N27" s="64">
        <f>Assumptions!C13*Assumptions!C40*EXP(-Assumptions!C20*Assumptions!C23)+Assumptions!C14*0.55*EXP(-Assumptions!C20*Assumptions!C24)+Assumptions!C15*0.55*0.85*EXP(-Assumptions!C20*Assumptions!C25)</f>
        <v>1355.9111686455963</v>
      </c>
    </row>
    <row r="28" spans="2:14" ht="16.05" customHeight="1" x14ac:dyDescent="0.3">
      <c r="B28" s="95">
        <v>0.6</v>
      </c>
      <c r="C28" s="64">
        <f>Assumptions!C13*Assumptions!C40*EXP(-Assumptions!C20*Assumptions!C23)+Assumptions!C14*0.6*EXP(-Assumptions!C20*Assumptions!C24)+Assumptions!C15*0.6*0.3*EXP(-Assumptions!C20*Assumptions!C25)</f>
        <v>1251.1052383433553</v>
      </c>
      <c r="D28" s="64">
        <f>Assumptions!C13*Assumptions!C40*EXP(-Assumptions!C20*Assumptions!C23)+Assumptions!C14*0.6*EXP(-Assumptions!C20*Assumptions!C24)+Assumptions!C15*0.6*0.35*EXP(-Assumptions!C20*Assumptions!C25)</f>
        <v>1266.9419615517131</v>
      </c>
      <c r="E28" s="64">
        <f>Assumptions!C13*Assumptions!C40*EXP(-Assumptions!C20*Assumptions!C23)+Assumptions!C14*0.6*EXP(-Assumptions!C20*Assumptions!C24)+Assumptions!C15*0.6*0.4*EXP(-Assumptions!C20*Assumptions!C25)</f>
        <v>1282.7786847600707</v>
      </c>
      <c r="F28" s="64">
        <f>Assumptions!C13*Assumptions!C40*EXP(-Assumptions!C20*Assumptions!C23)+Assumptions!C14*0.6*EXP(-Assumptions!C20*Assumptions!C24)+Assumptions!C15*0.6*0.45*EXP(-Assumptions!C20*Assumptions!C25)</f>
        <v>1298.6154079684286</v>
      </c>
      <c r="G28" s="64">
        <f>Assumptions!C13*Assumptions!C40*EXP(-Assumptions!C20*Assumptions!C23)+Assumptions!C14*0.6*EXP(-Assumptions!C20*Assumptions!C24)+Assumptions!C15*0.6*0.5*EXP(-Assumptions!C20*Assumptions!C25)</f>
        <v>1314.4521311767862</v>
      </c>
      <c r="H28" s="64">
        <f>Assumptions!C13*Assumptions!C40*EXP(-Assumptions!C20*Assumptions!C23)+Assumptions!C14*0.6*EXP(-Assumptions!C20*Assumptions!C24)+Assumptions!C15*0.6*0.55*EXP(-Assumptions!C20*Assumptions!C25)</f>
        <v>1330.2888543851441</v>
      </c>
      <c r="I28" s="64">
        <f>Assumptions!C13*Assumptions!C40*EXP(-Assumptions!C20*Assumptions!C23)+Assumptions!C14*0.6*EXP(-Assumptions!C20*Assumptions!C24)+Assumptions!C15*0.6*0.6*EXP(-Assumptions!C20*Assumptions!C25)</f>
        <v>1346.1255775935017</v>
      </c>
      <c r="J28" s="64">
        <f>Assumptions!C13*Assumptions!C40*EXP(-Assumptions!C20*Assumptions!C23)+Assumptions!C14*0.6*EXP(-Assumptions!C20*Assumptions!C24)+Assumptions!C15*0.6*0.65*EXP(-Assumptions!C20*Assumptions!C25)</f>
        <v>1361.9623008018593</v>
      </c>
      <c r="K28" s="64">
        <f>Assumptions!C13*Assumptions!C40*EXP(-Assumptions!C20*Assumptions!C23)+Assumptions!C14*0.6*EXP(-Assumptions!C20*Assumptions!C24)+Assumptions!C15*0.6*0.7*EXP(-Assumptions!C20*Assumptions!C25)</f>
        <v>1377.7990240102172</v>
      </c>
      <c r="L28" s="64">
        <f>Assumptions!C13*Assumptions!C40*EXP(-Assumptions!C20*Assumptions!C23)+Assumptions!C14*0.6*EXP(-Assumptions!C20*Assumptions!C24)+Assumptions!C15*0.6*0.75*EXP(-Assumptions!C20*Assumptions!C25)</f>
        <v>1393.6357472185748</v>
      </c>
      <c r="M28" s="64">
        <f>Assumptions!C13*Assumptions!C40*EXP(-Assumptions!C20*Assumptions!C23)+Assumptions!C14*0.6*EXP(-Assumptions!C20*Assumptions!C24)+Assumptions!C15*0.6*0.8*EXP(-Assumptions!C20*Assumptions!C25)</f>
        <v>1409.4724704269324</v>
      </c>
      <c r="N28" s="64">
        <f>Assumptions!C13*Assumptions!C40*EXP(-Assumptions!C20*Assumptions!C23)+Assumptions!C14*0.6*EXP(-Assumptions!C20*Assumptions!C24)+Assumptions!C15*0.6*0.85*EXP(-Assumptions!C20*Assumptions!C25)</f>
        <v>1425.3091936352903</v>
      </c>
    </row>
    <row r="29" spans="2:14" ht="16.05" customHeight="1" x14ac:dyDescent="0.3">
      <c r="B29" s="95">
        <v>0.65</v>
      </c>
      <c r="C29" s="64">
        <f>Assumptions!C13*Assumptions!C40*EXP(-Assumptions!C20*Assumptions!C23)+Assumptions!C14*0.65*EXP(-Assumptions!C20*Assumptions!C24)+Assumptions!C15*0.65*0.3*EXP(-Assumptions!C20*Assumptions!C25)</f>
        <v>1305.986267058722</v>
      </c>
      <c r="D29" s="64">
        <f>Assumptions!C13*Assumptions!C40*EXP(-Assumptions!C20*Assumptions!C23)+Assumptions!C14*0.65*EXP(-Assumptions!C20*Assumptions!C24)+Assumptions!C15*0.65*0.35*EXP(-Assumptions!C20*Assumptions!C25)</f>
        <v>1323.1427172011095</v>
      </c>
      <c r="E29" s="64">
        <f>Assumptions!C13*Assumptions!C40*EXP(-Assumptions!C20*Assumptions!C23)+Assumptions!C14*0.65*EXP(-Assumptions!C20*Assumptions!C24)+Assumptions!C15*0.65*0.4*EXP(-Assumptions!C20*Assumptions!C25)</f>
        <v>1340.2991673434972</v>
      </c>
      <c r="F29" s="64">
        <f>Assumptions!C13*Assumptions!C40*EXP(-Assumptions!C20*Assumptions!C23)+Assumptions!C14*0.65*EXP(-Assumptions!C20*Assumptions!C24)+Assumptions!C15*0.65*0.45*EXP(-Assumptions!C20*Assumptions!C25)</f>
        <v>1357.4556174858847</v>
      </c>
      <c r="G29" s="64">
        <f>Assumptions!C13*Assumptions!C40*EXP(-Assumptions!C20*Assumptions!C23)+Assumptions!C14*0.65*EXP(-Assumptions!C20*Assumptions!C24)+Assumptions!C15*0.65*0.5*EXP(-Assumptions!C20*Assumptions!C25)</f>
        <v>1374.6120676282721</v>
      </c>
      <c r="H29" s="64">
        <f>Assumptions!C13*Assumptions!C40*EXP(-Assumptions!C20*Assumptions!C23)+Assumptions!C14*0.65*EXP(-Assumptions!C20*Assumptions!C24)+Assumptions!C15*0.65*0.55*EXP(-Assumptions!C20*Assumptions!C25)</f>
        <v>1391.7685177706596</v>
      </c>
      <c r="I29" s="64">
        <f>Assumptions!C13*Assumptions!C40*EXP(-Assumptions!C20*Assumptions!C23)+Assumptions!C14*0.65*EXP(-Assumptions!C20*Assumptions!C24)+Assumptions!C15*0.65*0.6*EXP(-Assumptions!C20*Assumptions!C25)</f>
        <v>1408.9249679130471</v>
      </c>
      <c r="J29" s="64">
        <f>Assumptions!C13*Assumptions!C40*EXP(-Assumptions!C20*Assumptions!C23)+Assumptions!C14*0.65*EXP(-Assumptions!C20*Assumptions!C24)+Assumptions!C15*0.65*0.65*EXP(-Assumptions!C20*Assumptions!C25)</f>
        <v>1426.0814180554348</v>
      </c>
      <c r="K29" s="64">
        <f>Assumptions!C13*Assumptions!C40*EXP(-Assumptions!C20*Assumptions!C23)+Assumptions!C14*0.65*EXP(-Assumptions!C20*Assumptions!C24)+Assumptions!C15*0.65*0.7*EXP(-Assumptions!C20*Assumptions!C25)</f>
        <v>1443.2378681978223</v>
      </c>
      <c r="L29" s="64">
        <f>Assumptions!C13*Assumptions!C40*EXP(-Assumptions!C20*Assumptions!C23)+Assumptions!C14*0.65*EXP(-Assumptions!C20*Assumptions!C24)+Assumptions!C15*0.65*0.75*EXP(-Assumptions!C20*Assumptions!C25)</f>
        <v>1460.3943183402098</v>
      </c>
      <c r="M29" s="64">
        <f>Assumptions!C13*Assumptions!C40*EXP(-Assumptions!C20*Assumptions!C23)+Assumptions!C14*0.65*EXP(-Assumptions!C20*Assumptions!C24)+Assumptions!C15*0.65*0.8*EXP(-Assumptions!C20*Assumptions!C25)</f>
        <v>1477.5507684825973</v>
      </c>
      <c r="N29" s="64">
        <f>Assumptions!C13*Assumptions!C40*EXP(-Assumptions!C20*Assumptions!C23)+Assumptions!C14*0.65*EXP(-Assumptions!C20*Assumptions!C24)+Assumptions!C15*0.65*0.85*EXP(-Assumptions!C20*Assumptions!C25)</f>
        <v>1494.7072186249848</v>
      </c>
    </row>
    <row r="30" spans="2:14" ht="16.05" customHeight="1" x14ac:dyDescent="0.3">
      <c r="B30" s="95">
        <v>0.7</v>
      </c>
      <c r="C30" s="64">
        <f>Assumptions!C13*Assumptions!C40*EXP(-Assumptions!C20*Assumptions!C23)+Assumptions!C14*0.7*EXP(-Assumptions!C20*Assumptions!C24)+Assumptions!C15*0.7*0.3*EXP(-Assumptions!C20*Assumptions!C25)</f>
        <v>1360.8672957740887</v>
      </c>
      <c r="D30" s="64">
        <f>Assumptions!C13*Assumptions!C40*EXP(-Assumptions!C20*Assumptions!C23)+Assumptions!C14*0.7*EXP(-Assumptions!C20*Assumptions!C24)+Assumptions!C15*0.7*0.35*EXP(-Assumptions!C20*Assumptions!C25)</f>
        <v>1379.343472850506</v>
      </c>
      <c r="E30" s="64">
        <f>Assumptions!C13*Assumptions!C40*EXP(-Assumptions!C20*Assumptions!C23)+Assumptions!C14*0.7*EXP(-Assumptions!C20*Assumptions!C24)+Assumptions!C15*0.7*0.4*EXP(-Assumptions!C20*Assumptions!C25)</f>
        <v>1397.8196499269234</v>
      </c>
      <c r="F30" s="64">
        <f>Assumptions!C13*Assumptions!C40*EXP(-Assumptions!C20*Assumptions!C23)+Assumptions!C14*0.7*EXP(-Assumptions!C20*Assumptions!C24)+Assumptions!C15*0.7*0.45*EXP(-Assumptions!C20*Assumptions!C25)</f>
        <v>1416.2958270033407</v>
      </c>
      <c r="G30" s="64">
        <f>Assumptions!C13*Assumptions!C40*EXP(-Assumptions!C20*Assumptions!C23)+Assumptions!C14*0.7*EXP(-Assumptions!C20*Assumptions!C24)+Assumptions!C15*0.7*0.5*EXP(-Assumptions!C20*Assumptions!C25)</f>
        <v>1434.7720040797581</v>
      </c>
      <c r="H30" s="64">
        <f>Assumptions!C13*Assumptions!C40*EXP(-Assumptions!C20*Assumptions!C23)+Assumptions!C14*0.7*EXP(-Assumptions!C20*Assumptions!C24)+Assumptions!C15*0.7*0.55*EXP(-Assumptions!C20*Assumptions!C25)</f>
        <v>1453.2481811561754</v>
      </c>
      <c r="I30" s="64">
        <f>Assumptions!C13*Assumptions!C40*EXP(-Assumptions!C20*Assumptions!C23)+Assumptions!C14*0.7*EXP(-Assumptions!C20*Assumptions!C24)+Assumptions!C15*0.7*0.6*EXP(-Assumptions!C20*Assumptions!C25)</f>
        <v>1471.7243582325927</v>
      </c>
      <c r="J30" s="64">
        <f>Assumptions!C13*Assumptions!C40*EXP(-Assumptions!C20*Assumptions!C23)+Assumptions!C14*0.7*EXP(-Assumptions!C20*Assumptions!C24)+Assumptions!C15*0.7*0.65*EXP(-Assumptions!C20*Assumptions!C25)</f>
        <v>1490.2005353090101</v>
      </c>
      <c r="K30" s="64">
        <f>Assumptions!C13*Assumptions!C40*EXP(-Assumptions!C20*Assumptions!C23)+Assumptions!C14*0.7*EXP(-Assumptions!C20*Assumptions!C24)+Assumptions!C15*0.7*0.7*EXP(-Assumptions!C20*Assumptions!C25)</f>
        <v>1508.6767123854274</v>
      </c>
      <c r="L30" s="64">
        <f>Assumptions!C13*Assumptions!C40*EXP(-Assumptions!C20*Assumptions!C23)+Assumptions!C14*0.7*EXP(-Assumptions!C20*Assumptions!C24)+Assumptions!C15*0.7*0.75*EXP(-Assumptions!C20*Assumptions!C25)</f>
        <v>1527.1528894618446</v>
      </c>
      <c r="M30" s="64">
        <f>Assumptions!C13*Assumptions!C40*EXP(-Assumptions!C20*Assumptions!C23)+Assumptions!C14*0.7*EXP(-Assumptions!C20*Assumptions!C24)+Assumptions!C15*0.7*0.8*EXP(-Assumptions!C20*Assumptions!C25)</f>
        <v>1545.6290665382621</v>
      </c>
      <c r="N30" s="64">
        <f>Assumptions!C13*Assumptions!C40*EXP(-Assumptions!C20*Assumptions!C23)+Assumptions!C14*0.7*EXP(-Assumptions!C20*Assumptions!C24)+Assumptions!C15*0.7*0.85*EXP(-Assumptions!C20*Assumptions!C25)</f>
        <v>1564.1052436146792</v>
      </c>
    </row>
    <row r="31" spans="2:14" ht="16.05" customHeight="1" x14ac:dyDescent="0.3">
      <c r="B31" s="95">
        <v>0.75</v>
      </c>
      <c r="C31" s="64">
        <f>Assumptions!C13*Assumptions!C40*EXP(-Assumptions!C20*Assumptions!C23)+Assumptions!C14*0.75*EXP(-Assumptions!C20*Assumptions!C24)+Assumptions!C15*0.75*0.3*EXP(-Assumptions!C20*Assumptions!C25)</f>
        <v>1415.7483244894552</v>
      </c>
      <c r="D31" s="64">
        <f>Assumptions!C13*Assumptions!C40*EXP(-Assumptions!C20*Assumptions!C23)+Assumptions!C14*0.75*EXP(-Assumptions!C20*Assumptions!C24)+Assumptions!C15*0.75*0.35*EXP(-Assumptions!C20*Assumptions!C25)</f>
        <v>1435.5442284999024</v>
      </c>
      <c r="E31" s="64">
        <f>Assumptions!C13*Assumptions!C40*EXP(-Assumptions!C20*Assumptions!C23)+Assumptions!C14*0.75*EXP(-Assumptions!C20*Assumptions!C24)+Assumptions!C15*0.75*0.4*EXP(-Assumptions!C20*Assumptions!C25)</f>
        <v>1455.3401325103496</v>
      </c>
      <c r="F31" s="64">
        <f>Assumptions!C13*Assumptions!C40*EXP(-Assumptions!C20*Assumptions!C23)+Assumptions!C14*0.75*EXP(-Assumptions!C20*Assumptions!C24)+Assumptions!C15*0.75*0.45*EXP(-Assumptions!C20*Assumptions!C25)</f>
        <v>1475.1360365207968</v>
      </c>
      <c r="G31" s="64">
        <f>Assumptions!C13*Assumptions!C40*EXP(-Assumptions!C20*Assumptions!C23)+Assumptions!C14*0.75*EXP(-Assumptions!C20*Assumptions!C24)+Assumptions!C15*0.75*0.5*EXP(-Assumptions!C20*Assumptions!C25)</f>
        <v>1494.931940531244</v>
      </c>
      <c r="H31" s="64">
        <f>Assumptions!C13*Assumptions!C40*EXP(-Assumptions!C20*Assumptions!C23)+Assumptions!C14*0.75*EXP(-Assumptions!C20*Assumptions!C24)+Assumptions!C15*0.75*0.55*EXP(-Assumptions!C20*Assumptions!C25)</f>
        <v>1514.727844541691</v>
      </c>
      <c r="I31" s="64">
        <f>Assumptions!C13*Assumptions!C40*EXP(-Assumptions!C20*Assumptions!C23)+Assumptions!C14*0.75*EXP(-Assumptions!C20*Assumptions!C24)+Assumptions!C15*0.75*0.6*EXP(-Assumptions!C20*Assumptions!C25)</f>
        <v>1534.5237485521382</v>
      </c>
      <c r="J31" s="64">
        <f>Assumptions!C13*Assumptions!C40*EXP(-Assumptions!C20*Assumptions!C23)+Assumptions!C14*0.75*EXP(-Assumptions!C20*Assumptions!C24)+Assumptions!C15*0.75*0.65*EXP(-Assumptions!C20*Assumptions!C25)</f>
        <v>1554.3196525625854</v>
      </c>
      <c r="K31" s="64">
        <f>Assumptions!C13*Assumptions!C40*EXP(-Assumptions!C20*Assumptions!C23)+Assumptions!C14*0.75*EXP(-Assumptions!C20*Assumptions!C24)+Assumptions!C15*0.75*0.7*EXP(-Assumptions!C20*Assumptions!C25)</f>
        <v>1574.1155565730323</v>
      </c>
      <c r="L31" s="64">
        <f>Assumptions!C13*Assumptions!C40*EXP(-Assumptions!C20*Assumptions!C23)+Assumptions!C14*0.75*EXP(-Assumptions!C20*Assumptions!C24)+Assumptions!C15*0.75*0.75*EXP(-Assumptions!C20*Assumptions!C25)</f>
        <v>1593.9114605834795</v>
      </c>
      <c r="M31" s="64">
        <f>Assumptions!C13*Assumptions!C40*EXP(-Assumptions!C20*Assumptions!C23)+Assumptions!C14*0.75*EXP(-Assumptions!C20*Assumptions!C24)+Assumptions!C15*0.75*0.8*EXP(-Assumptions!C20*Assumptions!C25)</f>
        <v>1613.7073645939267</v>
      </c>
      <c r="N31" s="64">
        <f>Assumptions!C13*Assumptions!C40*EXP(-Assumptions!C20*Assumptions!C23)+Assumptions!C14*0.75*EXP(-Assumptions!C20*Assumptions!C24)+Assumptions!C15*0.75*0.85*EXP(-Assumptions!C20*Assumptions!C25)</f>
        <v>1633.5032686043739</v>
      </c>
    </row>
    <row r="32" spans="2:14" ht="16.05" customHeight="1" x14ac:dyDescent="0.3">
      <c r="B32" s="95">
        <v>0.8</v>
      </c>
      <c r="C32" s="64">
        <f>Assumptions!C13*Assumptions!C40*EXP(-Assumptions!C20*Assumptions!C23)+Assumptions!C14*0.8*EXP(-Assumptions!C20*Assumptions!C24)+Assumptions!C15*0.8*0.3*EXP(-Assumptions!C20*Assumptions!C25)</f>
        <v>1470.6293532048219</v>
      </c>
      <c r="D32" s="64">
        <f>Assumptions!C13*Assumptions!C40*EXP(-Assumptions!C20*Assumptions!C23)+Assumptions!C14*0.8*EXP(-Assumptions!C20*Assumptions!C24)+Assumptions!C15*0.8*0.35*EXP(-Assumptions!C20*Assumptions!C25)</f>
        <v>1491.7449841492989</v>
      </c>
      <c r="E32" s="64">
        <f>Assumptions!C13*Assumptions!C40*EXP(-Assumptions!C20*Assumptions!C23)+Assumptions!C14*0.8*EXP(-Assumptions!C20*Assumptions!C24)+Assumptions!C15*0.8*0.4*EXP(-Assumptions!C20*Assumptions!C25)</f>
        <v>1512.8606150937758</v>
      </c>
      <c r="F32" s="64">
        <f>Assumptions!C13*Assumptions!C40*EXP(-Assumptions!C20*Assumptions!C23)+Assumptions!C14*0.8*EXP(-Assumptions!C20*Assumptions!C24)+Assumptions!C15*0.8*0.45*EXP(-Assumptions!C20*Assumptions!C25)</f>
        <v>1533.9762460382528</v>
      </c>
      <c r="G32" s="64">
        <f>Assumptions!C13*Assumptions!C40*EXP(-Assumptions!C20*Assumptions!C23)+Assumptions!C14*0.8*EXP(-Assumptions!C20*Assumptions!C24)+Assumptions!C15*0.8*0.5*EXP(-Assumptions!C20*Assumptions!C25)</f>
        <v>1555.0918769827297</v>
      </c>
      <c r="H32" s="64">
        <f>Assumptions!C13*Assumptions!C40*EXP(-Assumptions!C20*Assumptions!C23)+Assumptions!C14*0.8*EXP(-Assumptions!C20*Assumptions!C24)+Assumptions!C15*0.8*0.55*EXP(-Assumptions!C20*Assumptions!C25)</f>
        <v>1576.2075079272067</v>
      </c>
      <c r="I32" s="64">
        <f>Assumptions!C13*Assumptions!C40*EXP(-Assumptions!C20*Assumptions!C23)+Assumptions!C14*0.8*EXP(-Assumptions!C20*Assumptions!C24)+Assumptions!C15*0.8*0.6*EXP(-Assumptions!C20*Assumptions!C25)</f>
        <v>1597.3231388716836</v>
      </c>
      <c r="J32" s="64">
        <f>Assumptions!C13*Assumptions!C40*EXP(-Assumptions!C20*Assumptions!C23)+Assumptions!C14*0.8*EXP(-Assumptions!C20*Assumptions!C24)+Assumptions!C15*0.8*0.65*EXP(-Assumptions!C20*Assumptions!C25)</f>
        <v>1618.4387698161606</v>
      </c>
      <c r="K32" s="64">
        <f>Assumptions!C13*Assumptions!C40*EXP(-Assumptions!C20*Assumptions!C23)+Assumptions!C14*0.8*EXP(-Assumptions!C20*Assumptions!C24)+Assumptions!C15*0.8*0.7*EXP(-Assumptions!C20*Assumptions!C25)</f>
        <v>1639.5544007606377</v>
      </c>
      <c r="L32" s="64">
        <f>Assumptions!C13*Assumptions!C40*EXP(-Assumptions!C20*Assumptions!C23)+Assumptions!C14*0.8*EXP(-Assumptions!C20*Assumptions!C24)+Assumptions!C15*0.8*0.75*EXP(-Assumptions!C20*Assumptions!C25)</f>
        <v>1660.6700317051145</v>
      </c>
      <c r="M32" s="64">
        <f>Assumptions!C13*Assumptions!C40*EXP(-Assumptions!C20*Assumptions!C23)+Assumptions!C14*0.8*EXP(-Assumptions!C20*Assumptions!C24)+Assumptions!C15*0.8*0.8*EXP(-Assumptions!C20*Assumptions!C25)</f>
        <v>1681.7856626495916</v>
      </c>
      <c r="N32" s="64">
        <f>Assumptions!C13*Assumptions!C40*EXP(-Assumptions!C20*Assumptions!C23)+Assumptions!C14*0.8*EXP(-Assumptions!C20*Assumptions!C24)+Assumptions!C15*0.8*0.85*EXP(-Assumptions!C20*Assumptions!C25)</f>
        <v>1702.9012935940684</v>
      </c>
    </row>
    <row r="33" spans="2:14" ht="16.05" customHeight="1" x14ac:dyDescent="0.3">
      <c r="B33" s="95">
        <v>0.85</v>
      </c>
      <c r="C33" s="64">
        <f>Assumptions!C13*Assumptions!C40*EXP(-Assumptions!C20*Assumptions!C23)+Assumptions!C14*0.85*EXP(-Assumptions!C20*Assumptions!C24)+Assumptions!C15*0.85*0.3*EXP(-Assumptions!C20*Assumptions!C25)</f>
        <v>1525.5103819201881</v>
      </c>
      <c r="D33" s="64">
        <f>Assumptions!C13*Assumptions!C40*EXP(-Assumptions!C20*Assumptions!C23)+Assumptions!C14*0.85*EXP(-Assumptions!C20*Assumptions!C24)+Assumptions!C15*0.85*0.35*EXP(-Assumptions!C20*Assumptions!C25)</f>
        <v>1547.9457397986948</v>
      </c>
      <c r="E33" s="64">
        <f>Assumptions!C13*Assumptions!C40*EXP(-Assumptions!C20*Assumptions!C23)+Assumptions!C14*0.85*EXP(-Assumptions!C20*Assumptions!C24)+Assumptions!C15*0.85*0.4*EXP(-Assumptions!C20*Assumptions!C25)</f>
        <v>1570.3810976772015</v>
      </c>
      <c r="F33" s="64">
        <f>Assumptions!C13*Assumptions!C40*EXP(-Assumptions!C20*Assumptions!C23)+Assumptions!C14*0.85*EXP(-Assumptions!C20*Assumptions!C24)+Assumptions!C15*0.85*0.45*EXP(-Assumptions!C20*Assumptions!C25)</f>
        <v>1592.8164555557084</v>
      </c>
      <c r="G33" s="64">
        <f>Assumptions!C13*Assumptions!C40*EXP(-Assumptions!C20*Assumptions!C23)+Assumptions!C14*0.85*EXP(-Assumptions!C20*Assumptions!C24)+Assumptions!C15*0.85*0.5*EXP(-Assumptions!C20*Assumptions!C25)</f>
        <v>1615.2518134342151</v>
      </c>
      <c r="H33" s="64">
        <f>Assumptions!C13*Assumptions!C40*EXP(-Assumptions!C20*Assumptions!C23)+Assumptions!C14*0.85*EXP(-Assumptions!C20*Assumptions!C24)+Assumptions!C15*0.85*0.55*EXP(-Assumptions!C20*Assumptions!C25)</f>
        <v>1637.6871713127221</v>
      </c>
      <c r="I33" s="64">
        <f>Assumptions!C13*Assumptions!C40*EXP(-Assumptions!C20*Assumptions!C23)+Assumptions!C14*0.85*EXP(-Assumptions!C20*Assumptions!C24)+Assumptions!C15*0.85*0.6*EXP(-Assumptions!C20*Assumptions!C25)</f>
        <v>1660.1225291912288</v>
      </c>
      <c r="J33" s="64">
        <f>Assumptions!C13*Assumptions!C40*EXP(-Assumptions!C20*Assumptions!C23)+Assumptions!C14*0.85*EXP(-Assumptions!C20*Assumptions!C24)+Assumptions!C15*0.85*0.65*EXP(-Assumptions!C20*Assumptions!C25)</f>
        <v>1682.5578870697354</v>
      </c>
      <c r="K33" s="64">
        <f>Assumptions!C13*Assumptions!C40*EXP(-Assumptions!C20*Assumptions!C23)+Assumptions!C14*0.85*EXP(-Assumptions!C20*Assumptions!C24)+Assumptions!C15*0.85*0.7*EXP(-Assumptions!C20*Assumptions!C25)</f>
        <v>1704.9932449482421</v>
      </c>
      <c r="L33" s="64">
        <f>Assumptions!C13*Assumptions!C40*EXP(-Assumptions!C20*Assumptions!C23)+Assumptions!C14*0.85*EXP(-Assumptions!C20*Assumptions!C24)+Assumptions!C15*0.85*0.75*EXP(-Assumptions!C20*Assumptions!C25)</f>
        <v>1727.4286028267491</v>
      </c>
      <c r="M33" s="64">
        <f>Assumptions!C13*Assumptions!C40*EXP(-Assumptions!C20*Assumptions!C23)+Assumptions!C14*0.85*EXP(-Assumptions!C20*Assumptions!C24)+Assumptions!C15*0.85*0.8*EXP(-Assumptions!C20*Assumptions!C25)</f>
        <v>1749.8639607052557</v>
      </c>
      <c r="N33" s="64">
        <f>Assumptions!C13*Assumptions!C40*EXP(-Assumptions!C20*Assumptions!C23)+Assumptions!C14*0.85*EXP(-Assumptions!C20*Assumptions!C24)+Assumptions!C15*0.85*0.85*EXP(-Assumptions!C20*Assumptions!C25)</f>
        <v>1772.2993185837624</v>
      </c>
    </row>
    <row r="36" spans="2:14" ht="36" customHeight="1" x14ac:dyDescent="0.3">
      <c r="B36" s="105" t="s">
        <v>290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3"/>
    </row>
  </sheetData>
  <mergeCells count="8">
    <mergeCell ref="B22:B23"/>
    <mergeCell ref="C22:N22"/>
    <mergeCell ref="B36:N36"/>
    <mergeCell ref="B1:N1"/>
    <mergeCell ref="B2:N2"/>
    <mergeCell ref="B4:B5"/>
    <mergeCell ref="C4:N4"/>
    <mergeCell ref="B21:N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Pfizer Financials</vt:lpstr>
      <vt:lpstr>Metsera rNPV</vt:lpstr>
      <vt:lpstr>CVR Binomial Tree</vt:lpstr>
      <vt:lpstr>Deal Valuation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Xiaoran Wang</cp:lastModifiedBy>
  <dcterms:created xsi:type="dcterms:W3CDTF">2026-05-23T15:57:47Z</dcterms:created>
  <dcterms:modified xsi:type="dcterms:W3CDTF">2026-05-24T05:27:26Z</dcterms:modified>
</cp:coreProperties>
</file>